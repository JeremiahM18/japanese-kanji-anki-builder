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570780be2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dfb9d5219241e5"/>
    <x:sheet xmlns:r="http://schemas.openxmlformats.org/officeDocument/2006/relationships" name="Product Surfaces" sheetId="2" r:id="Rf078f4b4b1b04172"/>
    <x:sheet xmlns:r="http://schemas.openxmlformats.org/officeDocument/2006/relationships" name="Lane Progress" sheetId="3" r:id="R401ffd218f38446e"/>
    <x:sheet xmlns:r="http://schemas.openxmlformats.org/officeDocument/2006/relationships" name="Word Reading" sheetId="4" r:id="Rbe19cf5f010e4a5b"/>
    <x:sheet xmlns:r="http://schemas.openxmlformats.org/officeDocument/2006/relationships" name="Proof &amp; Governance" sheetId="5" r:id="Re07c6a110d0941d8"/>
    <x:sheet xmlns:r="http://schemas.openxmlformats.org/officeDocument/2006/relationships" name="Performance Matrix" sheetId="6" r:id="Rc7d7ac20922f45d2"/>
    <x:sheet xmlns:r="http://schemas.openxmlformats.org/officeDocument/2006/relationships" name="Gate Classifications" sheetId="7" r:id="R044312ec691648cc"/>
    <x:sheet xmlns:r="http://schemas.openxmlformats.org/officeDocument/2006/relationships" name="Chart Data" sheetId="8" r:id="R5e9eee9598654ab7"/>
    <x:sheet xmlns:r="http://schemas.openxmlformats.org/officeDocument/2006/relationships" name="Source Commands" sheetId="9" r:id="R13e7b9aea6ee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color rgb="FFB4530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4F6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FFF7ED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3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f5efc2e7f49dd" /><Relationship Type="http://schemas.openxmlformats.org/officeDocument/2006/relationships/theme" Target="/xl/theme/theme1.xml" Id="R7032e5b6535340c4" /><Relationship Type="http://schemas.openxmlformats.org/officeDocument/2006/relationships/sharedStrings" Target="/xl/sharedStrings.xml" Id="R1d89a37f5c874ee7" /><Relationship Type="http://schemas.openxmlformats.org/officeDocument/2006/relationships/worksheet" Target="/xl/worksheets/sheet1.xml" Id="R83dfb9d5219241e5" /><Relationship Type="http://schemas.openxmlformats.org/officeDocument/2006/relationships/worksheet" Target="/xl/worksheets/sheet2.xml" Id="Rf078f4b4b1b04172" /><Relationship Type="http://schemas.openxmlformats.org/officeDocument/2006/relationships/worksheet" Target="/xl/worksheets/sheet3.xml" Id="R401ffd218f38446e" /><Relationship Type="http://schemas.openxmlformats.org/officeDocument/2006/relationships/worksheet" Target="/xl/worksheets/sheet4.xml" Id="Rbe19cf5f010e4a5b" /><Relationship Type="http://schemas.openxmlformats.org/officeDocument/2006/relationships/worksheet" Target="/xl/worksheets/sheet5.xml" Id="Re07c6a110d0941d8" /><Relationship Type="http://schemas.openxmlformats.org/officeDocument/2006/relationships/worksheet" Target="/xl/worksheets/sheet6.xml" Id="Rc7d7ac20922f45d2" /><Relationship Type="http://schemas.openxmlformats.org/officeDocument/2006/relationships/worksheet" Target="/xl/worksheets/sheet7.xml" Id="R044312ec691648cc" /><Relationship Type="http://schemas.openxmlformats.org/officeDocument/2006/relationships/worksheet" Target="/xl/worksheets/sheet8.xml" Id="R5e9eee9598654ab7" /><Relationship Type="http://schemas.openxmlformats.org/officeDocument/2006/relationships/worksheet" Target="/xl/worksheets/sheet9.xml" Id="R13e7b9aea6ee47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bd6bbcf24240d8" /><Relationship Type="http://schemas.openxmlformats.org/officeDocument/2006/relationships/chart" Target="/xl/drawings/charts/chart2.xml" Id="R6d5fbc3e4e2c47e6" /><Relationship Type="http://schemas.openxmlformats.org/officeDocument/2006/relationships/chart" Target="/xl/drawings/charts/chart3.xml" Id="Re2964c53e84a43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Forward-Lane Backlog by Product Surface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Forward Backlog</c:v>
          </c:tx>
          <c:cat>
            <c:strRef>
              <c:f>'Chart Data'!$A$5:$A$14</c:f>
              <c:strCache>
                <c:ptCount val="0"/>
              </c:strCache>
            </c:strRef>
          </c:cat>
          <c:val>
            <c:numRef>
              <c:f>'Chart Data'!$B$5:$B$14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Lane Completion by Surface and Lane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Silver</c:v>
          </c:tx>
          <c:cat>
            <c:strRef>
              <c:f>'Chart Data'!$D$5:$D$14</c:f>
              <c:strCache>
                <c:ptCount val="0"/>
              </c:strCache>
            </c:strRef>
          </c:cat>
          <c:val>
            <c:numRef>
              <c:f>'Chart Data'!$E$5:$E$14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Gold</c:v>
          </c:tx>
          <c:cat>
            <c:strRef>
              <c:f>'Chart Data'!$D$5:$D$14</c:f>
              <c:strCache>
                <c:ptCount val="0"/>
              </c:strCache>
            </c:strRef>
          </c:cat>
          <c:val>
            <c:numRef>
              <c:f>'Chart Data'!$F$5:$F$14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Sapphire</c:v>
          </c:tx>
          <c:cat>
            <c:strRef>
              <c:f>'Chart Data'!$D$5:$D$14</c:f>
              <c:strCache>
                <c:ptCount val="0"/>
              </c:strCache>
            </c:strRef>
          </c:cat>
          <c:val>
            <c:numRef>
              <c:f>'Chart Data'!$G$5:$G$14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Platinum</c:v>
          </c:tx>
          <c:cat>
            <c:strRef>
              <c:f>'Chart Data'!$D$5:$D$14</c:f>
              <c:strCache>
                <c:ptCount val="0"/>
              </c:strCache>
            </c:strRef>
          </c:cat>
          <c:val>
            <c:numRef>
              <c:f>'Chart Data'!$H$5:$H$14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Word Reading Coverage by JLPT Level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Reading Coverage</c:v>
          </c:tx>
          <c:cat>
            <c:strRef>
              <c:f>'Chart Data'!$J$5:$J$9</c:f>
              <c:strCache>
                <c:ptCount val="0"/>
              </c:strCache>
            </c:strRef>
          </c:cat>
          <c:val>
            <c:numRef>
              <c:f>'Chart Data'!$K$5:$K$9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bd6bbcf24240d8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5fbc3e4e2c47e6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4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964c53e84a43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SurfacesTable" displayName="ProductSurfacesTable" ref="A1:J11" headerRowCount="1">
  <x:tableColumns count="10">
    <x:tableColumn id="1" name="Surface"/>
    <x:tableColumn id="2" name="Deck Kind"/>
    <x:tableColumn id="3" name="Level"/>
    <x:tableColumn id="4" name="Denominator"/>
    <x:tableColumn id="5" name="Silver"/>
    <x:tableColumn id="6" name="Gold"/>
    <x:tableColumn id="7" name="Sapphire"/>
    <x:tableColumn id="8" name="Platinum"/>
    <x:tableColumn id="9" name="Forward Backlog"/>
    <x:tableColumn id="10" name="Gate Posture"/>
  </x:tableColumns>
  <x:tableStyleInfo name="TableStyleMedium2" showRowStripes="1"/>
</x:table>
</file>

<file path=xl/tables/table2.xml><?xml version="1.0" encoding="utf-8"?>
<x:table xmlns:x="http://schemas.openxmlformats.org/spreadsheetml/2006/main" id="2" name="LaneProgressTable" displayName="LaneProgressTable" ref="A1:I41" headerRowCount="1">
  <x:tableColumns count="9">
    <x:tableColumn id="1" name="Surface"/>
    <x:tableColumn id="2" name="Deck Kind"/>
    <x:tableColumn id="3" name="Level"/>
    <x:tableColumn id="4" name="Lane"/>
    <x:tableColumn id="5" name="Count"/>
    <x:tableColumn id="6" name="Denominator"/>
    <x:tableColumn id="7" name="Missing"/>
    <x:tableColumn id="8" name="Complete Flag"/>
    <x:tableColumn id="9" name="Completion Rate"/>
  </x:tableColumns>
  <x:tableStyleInfo name="TableStyleMedium2" showRowStripes="1"/>
</x:table>
</file>

<file path=xl/tables/table3.xml><?xml version="1.0" encoding="utf-8"?>
<x:table xmlns:x="http://schemas.openxmlformats.org/spreadsheetml/2006/main" id="3" name="WordReadingTable" displayName="WordReadingTable" ref="A1:P6" headerRowCount="1">
  <x:tableColumns count="16">
    <x:tableColumn id="1" name="Level"/>
    <x:tableColumn id="2" name="Level Number"/>
    <x:tableColumn id="3" name="Canonical Inventory"/>
    <x:tableColumn id="4" name="Built Eligible"/>
    <x:tableColumn id="5" name="Total Readings"/>
    <x:tableColumn id="6" name="Covered Readings"/>
    <x:tableColumn id="7" name="Reading Coverage"/>
    <x:tableColumn id="8" name="Missing Word Cards"/>
    <x:tableColumn id="9" name="Missing Examples"/>
    <x:tableColumn id="10" name="Variant Gaps"/>
    <x:tableColumn id="11" name="Distinct Gaps"/>
    <x:tableColumn id="12" name="Triage Total"/>
    <x:tableColumn id="13" name="High"/>
    <x:tableColumn id="14" name="Medium"/>
    <x:tableColumn id="15" name="Low"/>
    <x:tableColumn id="16" name="Readiness"/>
  </x:tableColumns>
  <x:tableStyleInfo name="TableStyleMedium2" showRowStripes="1"/>
</x:table>
</file>

<file path=xl/tables/table4.xml><?xml version="1.0" encoding="utf-8"?>
<x:table xmlns:x="http://schemas.openxmlformats.org/spreadsheetml/2006/main" id="4" name="ProofGovernanceTable" displayName="ProofGovernanceTable" ref="A1:F12" headerRowCount="1">
  <x:tableColumns count="6">
    <x:tableColumn id="1" name="Check"/>
    <x:tableColumn id="2" name="Domain"/>
    <x:tableColumn id="3" name="Status"/>
    <x:tableColumn id="4" name="Records"/>
    <x:tableColumn id="5" name="Blockers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erformanceMatrixTable" displayName="PerformanceMatrixTable" ref="A1:H8" headerRowCount="1">
  <x:tableColumns count="8">
    <x:tableColumn id="1" name="Lane ID"/>
    <x:tableColumn id="2" name="Product Area"/>
    <x:tableColumn id="3" name="Benchmark Class"/>
    <x:tableColumn id="4" name="CI Policy"/>
    <x:tableColumn id="5" name="Timing Budget"/>
    <x:tableColumn id="6" name="Memory Sampling"/>
    <x:tableColumn id="7" name="Passed"/>
    <x:tableColumn id="8" name="Release Boundary"/>
  </x:tableColumns>
  <x:tableStyleInfo name="TableStyleMedium2" showRowStripes="1"/>
</x:table>
</file>

<file path=xl/tables/table6.xml><?xml version="1.0" encoding="utf-8"?>
<x:table xmlns:x="http://schemas.openxmlformats.org/spreadsheetml/2006/main" id="6" name="GateClassificationsTable" displayName="GateClassificationsTable" ref="A1:H31" headerRowCount="1">
  <x:tableColumns count="8">
    <x:tableColumn id="1" name="Surface"/>
    <x:tableColumn id="2" name="Deck Kind"/>
    <x:tableColumn id="3" name="Level"/>
    <x:tableColumn id="4" name="Lane"/>
    <x:tableColumn id="5" name="Classification"/>
    <x:tableColumn id="6" name="Missing"/>
    <x:tableColumn id="7" name="Ratio"/>
    <x:tableColumn id="8" name="Command"/>
  </x:tableColumns>
  <x:tableStyleInfo name="TableStyleMedium2" showRowStripes="1"/>
</x:table>
</file>

<file path=xl/tables/table7.xml><?xml version="1.0" encoding="utf-8"?>
<x:table xmlns:x="http://schemas.openxmlformats.org/spreadsheetml/2006/main" id="7" name="SourceCommandsTable" displayName="SourceCommandsTable" ref="A1:E21" headerRowCount="1">
  <x:tableColumns count="5">
    <x:tableColumn id="1" name="Command"/>
    <x:tableColumn id="2" name="Status"/>
    <x:tableColumn id="3" name="Exit Code"/>
    <x:tableColumn id="4" name="Parsed JSON"/>
    <x:tableColumn id="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006569d9ff4b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074639321f4b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00776f1d894b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ae0137d08443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18e99120854b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d10042522d4e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f992df029b45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93a560278d745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3.75" hidden="0" customWidth="1"/>
    <x:col min="3" max="3" width="26.25" hidden="0" customWidth="1"/>
    <x:col min="4" max="4" width="3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</x:cols>
  <x:sheetData>
    <x:row r="1" ht="28.5" customHeight="1">
      <x:c r="A1" s="5" t="str">
        <x:v>Japanese Kanji Builder Whole-Program Governance Workbook</x:v>
      </x:c>
      <x:c r="B1" s="5" t="str">
        <x:v>Japanese Kanji Builder Whole-Program Governance Workbook</x:v>
      </x:c>
      <x:c r="C1" s="5" t="str">
        <x:v>Japanese Kanji Builder Whole-Program Governance Workbook</x:v>
      </x:c>
      <x:c r="D1" s="5" t="str">
        <x:v>Japanese Kanji Builder Whole-Program Governance Workbook</x:v>
      </x:c>
      <x:c r="E1" s="5" t="str">
        <x:v>Japanese Kanji Builder Whole-Program Governance Workbook</x:v>
      </x:c>
      <x:c r="F1" s="5" t="str">
        <x:v>Japanese Kanji Builder Whole-Program Governance Workbook</x:v>
      </x:c>
      <x:c r="G1" s="5" t="str">
        <x:v>Japanese Kanji Builder Whole-Program Governance Workbook</x:v>
      </x:c>
      <x:c r="H1" s="5" t="str">
        <x:v>Japanese Kanji Builder Whole-Program Governance Workbook</x:v>
      </x:c>
      <x:c r="I1" s="5" t="str">
        <x:v>Japanese Kanji Builder Whole-Program Governance Workbook</x:v>
      </x:c>
      <x:c r="J1" s="5" t="str">
        <x:v>Japanese Kanji Builder Whole-Program Governance Workbook</x:v>
      </x:c>
      <x:c r="K1" s="5" t="str">
        <x:v>Japanese Kanji Builder Whole-Program Governance Workbook</x:v>
      </x:c>
      <x:c r="L1" s="5" t="str">
        <x:v>Japanese Kanji Builder Whole-Program Governance Workbook</x:v>
      </x:c>
      <x:c r="M1" s="5" t="str">
        <x:v>Japanese Kanji Builder Whole-Program Governance Workbook</x:v>
      </x:c>
    </x:row>
    <x:row r="2" ht="22.5" customHeight="1">
      <x:c r="A2" s="9" t="str">
        <x:v>Read-only spreadsheet export from live repository commands. This is reporting support only: no card certification, no proof writes, no deck data edits.</x:v>
      </x:c>
      <x:c r="B2" s="9" t="str">
        <x:v>Read-only spreadsheet export from live repository commands. This is reporting support only: no card certification, no proof writes, no deck data edits.</x:v>
      </x:c>
      <x:c r="C2" s="9" t="str">
        <x:v>Read-only spreadsheet export from live repository commands. This is reporting support only: no card certification, no proof writes, no deck data edits.</x:v>
      </x:c>
      <x:c r="D2" s="9" t="str">
        <x:v>Read-only spreadsheet export from live repository commands. This is reporting support only: no card certification, no proof writes, no deck data edits.</x:v>
      </x:c>
      <x:c r="E2" s="9" t="str">
        <x:v>Read-only spreadsheet export from live repository commands. This is reporting support only: no card certification, no proof writes, no deck data edits.</x:v>
      </x:c>
      <x:c r="F2" s="9" t="str">
        <x:v>Read-only spreadsheet export from live repository commands. This is reporting support only: no card certification, no proof writes, no deck data edits.</x:v>
      </x:c>
      <x:c r="G2" s="9" t="str">
        <x:v>Read-only spreadsheet export from live repository commands. This is reporting support only: no card certification, no proof writes, no deck data edits.</x:v>
      </x:c>
      <x:c r="H2" s="9" t="str">
        <x:v>Read-only spreadsheet export from live repository commands. This is reporting support only: no card certification, no proof writes, no deck data edits.</x:v>
      </x:c>
    </x:row>
    <x:row r="4" ht="21" customHeight="1">
      <x:c r="A4" s="15" t="str">
        <x:v>Control</x:v>
      </x:c>
      <x:c r="B4" s="15" t="str">
        <x:v>Value</x:v>
      </x:c>
      <x:c r="C4" s="15" t="str">
        <x:v>Evidence</x:v>
      </x:c>
    </x:row>
    <x:row r="5">
      <x:c r="A5" s="20" t="str">
        <x:v>Tracked source branch</x:v>
      </x:c>
      <x:c r="B5" s="20" t="str">
        <x:v>## main...origin/main</x:v>
      </x:c>
      <x:c r="C5" s="20" t="str">
        <x:v>git status --short --branch -- . ":(exclude)outputs"</x:v>
      </x:c>
    </x:row>
    <x:row r="6">
      <x:c r="A6" s="20" t="str">
        <x:v>Latest commit</x:v>
      </x:c>
      <x:c r="B6" s="20" t="str">
        <x:v>a824d0bc (HEAD -&gt; main, origin/main, origin/HEAD) data(words): expand n3 silver batches 35-41</x:v>
      </x:c>
      <x:c r="C6" s="20" t="str">
        <x:v>git log -1 --oneline --decorate</x:v>
      </x:c>
    </x:row>
    <x:row r="7">
      <x:c r="A7" s="20" t="str">
        <x:v>Direct remote heads</x:v>
      </x:c>
      <x:c r="B7" s="20" t="str">
        <x:v>remote check failed</x:v>
      </x:c>
      <x:c r="C7" s="20" t="str">
        <x:v>git ls-remote --heads origin; retry if first failed</x:v>
      </x:c>
    </x:row>
    <x:row r="8">
      <x:c r="A8" s="20" t="str">
        <x:v>Closeout remoteHeads</x:v>
      </x:c>
      <x:c r="B8" s="20" t="str">
        <x:v>subcheck failed</x:v>
      </x:c>
      <x:c r="C8" s="20" t="str">
        <x:v>fatal: unable to access 'https://github.com/JeremiahM18/japanese-kanji-anki-builder.git/': Failed to connect to github.com port 443 after 113 ms: Could not connect to server</x:v>
      </x:c>
    </x:row>
    <x:row r="9">
      <x:c r="A9" s="20" t="str">
        <x:v>Artifact output</x:v>
      </x:c>
      <x:c r="B9" s="20" t="str">
        <x:v>outputs/spreadsheets-whole-program-governance</x:v>
      </x:c>
      <x:c r="C9" s="20" t="str">
        <x:v>Generated workbook artifacts are intentionally separated from tracked source status.</x:v>
      </x:c>
    </x:row>
    <x:row r="10">
      <x:c r="A10" s="20" t="str">
        <x:v>Release-trust mode</x:v>
      </x:c>
      <x:c r="B10" s="20" t="str">
        <x:v>fail-closed</x:v>
      </x:c>
      <x:c r="C10" s="20" t="str">
        <x:v>security release-trust blockers remain visible</x:v>
      </x:c>
    </x:row>
    <x:row r="11" ht="21" customHeight="1">
      <x:c r="A11" s="26" t="str">
        <x:v>Metric</x:v>
      </x:c>
      <x:c r="B11" s="26" t="str">
        <x:v>Value</x:v>
      </x:c>
      <x:c r="C11" s="26" t="str">
        <x:v>Definition</x:v>
      </x:c>
    </x:row>
    <x:row r="12">
      <x:c r="A12" s="20" t="str">
        <x:v>Complete lane checks</x:v>
      </x:c>
      <x:c r="B12" s="27" t="n">
        <x:f>SUM('Lane Progress'!H2:H41)</x:f>
        <x:v>29</x:v>
      </x:c>
      <x:c r="C12" s="20" t="str">
        <x:v>Lane count equals denominator.</x:v>
      </x:c>
    </x:row>
    <x:row r="13">
      <x:c r="A13" s="20" t="str">
        <x:v>Total lane checks</x:v>
      </x:c>
      <x:c r="B13" s="27" t="n">
        <x:f>COUNTA('Lane Progress'!A2:A41)</x:f>
        <x:v>40</x:v>
      </x:c>
      <x:c r="C13" s="20" t="str">
        <x:v>Kanji + word N5-N1 times four lanes.</x:v>
      </x:c>
    </x:row>
    <x:row r="14">
      <x:c r="A14" s="20" t="str">
        <x:v>Lane completion rate</x:v>
      </x:c>
      <x:c r="B14" s="28" t="n">
        <x:f>IF(B13=0,0,B12/B13)</x:f>
        <x:v>0.725</x:v>
      </x:c>
      <x:c r="C14" s="20" t="str">
        <x:v>Complete lane checks divided by total checks.</x:v>
      </x:c>
    </x:row>
    <x:row r="15">
      <x:c r="A15" s="20" t="str">
        <x:v>Forward backlog entries</x:v>
      </x:c>
      <x:c r="B15" s="29" t="n">
        <x:f>SUM('Product Surfaces'!I2:I11)</x:f>
        <x:v>3229</x:v>
      </x:c>
      <x:c r="C15" s="20" t="str">
        <x:v>Missing Gold + Sapphire + Platinum entries.</x:v>
      </x:c>
    </x:row>
    <x:row r="16">
      <x:c r="A16" s="20" t="str">
        <x:v>Expected coverage failures</x:v>
      </x:c>
      <x:c r="B16" s="29" t="n">
        <x:f>COUNTIF('Gate Classifications'!E2:E31,"expected-fail-coverage")</x:f>
        <x:v>11</x:v>
      </x:c>
      <x:c r="C16" s="20" t="str">
        <x:v>Expected fail-closed coverage gates while backlog remains.</x:v>
      </x:c>
    </x:row>
    <x:row r="17">
      <x:c r="A17" s="20" t="str">
        <x:v>Proof events</x:v>
      </x:c>
      <x:c r="B17" s="29" t="n">
        <x:f>SUMIF('Proof &amp; Governance'!A2:A12,"Obsidian proof ledger validate",'Proof &amp; Governance'!D2:D12)</x:f>
        <x:v>1969</x:v>
      </x:c>
      <x:c r="C17" s="20" t="str">
        <x:v>Canonical proof ledger events validated read-only.</x:v>
      </x:c>
    </x:row>
    <x:row r="18">
      <x:c r="A18" s="20" t="str">
        <x:v>Release-trust blockers</x:v>
      </x:c>
      <x:c r="B18" s="29" t="n">
        <x:f>SUMIF('Proof &amp; Governance'!A2:A12,"SDLC release trust",'Proof &amp; Governance'!E2:E12)</x:f>
        <x:v>3</x:v>
      </x:c>
      <x:c r="C18" s="20" t="str">
        <x:v>Release-trust high/critical risk + unimplemented requirement blockers.</x:v>
      </x:c>
    </x:row>
    <x:row r="19">
      <x:c r="A19" s="20" t="str">
        <x:v>NLP checks passed</x:v>
      </x:c>
      <x:c r="B19" s="29" t="n">
        <x:f>SUMIF('Proof &amp; Governance'!A2:A12,"NLP governance gate",'Proof &amp; Governance'!D2:D12)</x:f>
        <x:v>8</x:v>
      </x:c>
      <x:c r="C19" s="20" t="str">
        <x:v>Governance checks, support-only boundary.</x:v>
      </x:c>
    </x:row>
    <x:row r="20">
      <x:c r="A20" s="20" t="str">
        <x:v>Performance lanes passing</x:v>
      </x:c>
      <x:c r="B20" s="29" t="n">
        <x:f>SUMIF('Proof &amp; Governance'!A2:A12,"Performance memory matrix",'Proof &amp; Governance'!D2:D12)</x:f>
        <x:v>7</x:v>
      </x:c>
      <x:c r="C20" s="20" t="str">
        <x:v>Tracked performance/memory governance lanes.</x:v>
      </x:c>
    </x:row>
    <x:row r="22" ht="21" customHeight="1">
      <x:c r="A22" s="35" t="str">
        <x:v>Word Reading Coverage</x:v>
      </x:c>
      <x:c r="B22" s="35" t="str">
        <x:v>Word Reading Coverage</x:v>
      </x:c>
      <x:c r="C22" s="35" t="str">
        <x:v>Word Reading Coverage</x:v>
      </x:c>
      <x:c r="D22" s="35" t="str">
        <x:v>Word Reading Coverage</x:v>
      </x:c>
    </x:row>
    <x:row r="40">
      <x:c r="A40" s="55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B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C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D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E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F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G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H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I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J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K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L40" s="56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M40" s="57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</x:row>
    <x:row r="41">
      <x:c r="A41" s="58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B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C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D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E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F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G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H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I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J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K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L41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M41" s="60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</x:row>
    <x:row r="42">
      <x:c r="A42" s="58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B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C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D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E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F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G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H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I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J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K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L42" s="59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M42" s="60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</x:row>
    <x:row r="43">
      <x:c r="A43" s="61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B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C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D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E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F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G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H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I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J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K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L43" s="62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  <x:c r="M43" s="63" t="str">
        <x:v>Boundary: This workbook is an export/reporting contract only. It does not replace lane gates, does not shrink denominators, does not treat expected coverage failures as regressions, and did not write Obsidian proof. Release-trust blockers remain explicit: SEC-P0-004, PROD-REL-001, and SEC-REQ-007 remain release-trust blockers.</x:v>
      </x:c>
    </x:row>
  </x:sheetData>
  <x:mergeCells>
    <x:mergeCell ref="A1:M1"/>
    <x:mergeCell ref="A2:H2"/>
    <x:mergeCell ref="A40:M43"/>
  </x:mergeCells>
  <x:pageMargins left="0.7" right="0.7" top="0.75" bottom="0.75" header="0.3" footer="0.3"/>
  <x:drawing xmlns:r="http://schemas.openxmlformats.org/officeDocument/2006/relationships" r:id="R7d006569d9ff4b8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880000114440918" hidden="0" customWidth="1"/>
    <x:col min="3" max="3" width="8.75" hidden="0" customWidth="1"/>
    <x:col min="4" max="4" width="11.880000114440918" hidden="0" customWidth="1"/>
    <x:col min="5" max="5" width="9.380000114440918" hidden="0" customWidth="1"/>
    <x:col min="6" max="6" width="9.380000114440918" hidden="0" customWidth="1"/>
    <x:col min="7" max="7" width="11.25" hidden="0" customWidth="1"/>
    <x:col min="8" max="8" width="11.25" hidden="0" customWidth="1"/>
    <x:col min="9" max="9" width="15" hidden="0" customWidth="1"/>
    <x:col min="10" max="10" width="45" hidden="0" customWidth="1"/>
  </x:cols>
  <x:sheetData>
    <x:row r="1" ht="21" customHeight="1">
      <x:c r="A1" s="26" t="str">
        <x:v>Surface</x:v>
      </x:c>
      <x:c r="B1" s="26" t="str">
        <x:v>Deck Kind</x:v>
      </x:c>
      <x:c r="C1" s="26" t="str">
        <x:v>Level</x:v>
      </x:c>
      <x:c r="D1" s="26" t="str">
        <x:v>Denominator</x:v>
      </x:c>
      <x:c r="E1" s="26" t="str">
        <x:v>Silver</x:v>
      </x:c>
      <x:c r="F1" s="26" t="str">
        <x:v>Gold</x:v>
      </x:c>
      <x:c r="G1" s="26" t="str">
        <x:v>Sapphire</x:v>
      </x:c>
      <x:c r="H1" s="26" t="str">
        <x:v>Platinum</x:v>
      </x:c>
      <x:c r="I1" s="26" t="str">
        <x:v>Forward Backlog</x:v>
      </x:c>
      <x:c r="J1" s="26" t="str">
        <x:v>Gate Posture</x:v>
      </x:c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20" t="str">
        <x:v>N5 Kanji</x:v>
      </x:c>
      <x:c r="B2" s="20" t="str">
        <x:v>kanji</x:v>
      </x:c>
      <x:c r="C2" s="20" t="str">
        <x:v>N5</x:v>
      </x:c>
      <x:c r="D2" s="29" t="n">
        <x:v>80</x:v>
      </x:c>
      <x:c r="E2" s="29" t="n">
        <x:v>80</x:v>
      </x:c>
      <x:c r="F2" s="29" t="n">
        <x:v>80</x:v>
      </x:c>
      <x:c r="G2" s="29" t="n">
        <x:v>80</x:v>
      </x:c>
      <x:c r="H2" s="29" t="n">
        <x:v>80</x:v>
      </x:c>
      <x:c r="I2" s="29" t="n">
        <x:f>(D2-F2)+(D2-G2)+(D2-H2)</x:f>
        <x:v>0</x:v>
      </x:c>
      <x:c r="J2" s="20" t="str">
        <x:v>count-complete-run-gate-to-confirm</x:v>
      </x:c>
    </x:row>
    <x:row r="3">
      <x:c r="A3" s="20" t="str">
        <x:v>N5 Word</x:v>
      </x:c>
      <x:c r="B3" s="20" t="str">
        <x:v>word</x:v>
      </x:c>
      <x:c r="C3" s="20" t="str">
        <x:v>N5</x:v>
      </x:c>
      <x:c r="D3" s="29" t="n">
        <x:v>287</x:v>
      </x:c>
      <x:c r="E3" s="29" t="n">
        <x:v>287</x:v>
      </x:c>
      <x:c r="F3" s="29" t="n">
        <x:v>287</x:v>
      </x:c>
      <x:c r="G3" s="29" t="n">
        <x:v>287</x:v>
      </x:c>
      <x:c r="H3" s="29" t="n">
        <x:v>287</x:v>
      </x:c>
      <x:c r="I3" s="29" t="n">
        <x:f>(D3-F3)+(D3-G3)+(D3-H3)</x:f>
        <x:v>0</x:v>
      </x:c>
      <x:c r="J3" s="20" t="str">
        <x:v>count-complete-run-gate-to-confirm</x:v>
      </x:c>
    </x:row>
    <x:row r="4">
      <x:c r="A4" s="20" t="str">
        <x:v>N4 Kanji</x:v>
      </x:c>
      <x:c r="B4" s="20" t="str">
        <x:v>kanji</x:v>
      </x:c>
      <x:c r="C4" s="20" t="str">
        <x:v>N4</x:v>
      </x:c>
      <x:c r="D4" s="29" t="n">
        <x:v>212</x:v>
      </x:c>
      <x:c r="E4" s="29" t="n">
        <x:v>212</x:v>
      </x:c>
      <x:c r="F4" s="29" t="n">
        <x:v>212</x:v>
      </x:c>
      <x:c r="G4" s="29" t="n">
        <x:v>212</x:v>
      </x:c>
      <x:c r="H4" s="29" t="n">
        <x:v>212</x:v>
      </x:c>
      <x:c r="I4" s="29" t="n">
        <x:f>(D4-F4)+(D4-G4)+(D4-H4)</x:f>
        <x:v>0</x:v>
      </x:c>
      <x:c r="J4" s="20" t="str">
        <x:v>count-complete-run-gate-to-confirm</x:v>
      </x:c>
    </x:row>
    <x:row r="5">
      <x:c r="A5" s="20" t="str">
        <x:v>N4 Word</x:v>
      </x:c>
      <x:c r="B5" s="20" t="str">
        <x:v>word</x:v>
      </x:c>
      <x:c r="C5" s="20" t="str">
        <x:v>N4</x:v>
      </x:c>
      <x:c r="D5" s="29" t="n">
        <x:v>700</x:v>
      </x:c>
      <x:c r="E5" s="29" t="n">
        <x:v>700</x:v>
      </x:c>
      <x:c r="F5" s="29" t="n">
        <x:v>700</x:v>
      </x:c>
      <x:c r="G5" s="29" t="n">
        <x:v>700</x:v>
      </x:c>
      <x:c r="H5" s="29" t="n">
        <x:v>700</x:v>
      </x:c>
      <x:c r="I5" s="29" t="n">
        <x:f>(D5-F5)+(D5-G5)+(D5-H5)</x:f>
        <x:v>0</x:v>
      </x:c>
      <x:c r="J5" s="20" t="str">
        <x:v>count-complete-run-gate-to-confirm</x:v>
      </x:c>
    </x:row>
    <x:row r="6">
      <x:c r="A6" s="20" t="str">
        <x:v>N3 Kanji</x:v>
      </x:c>
      <x:c r="B6" s="20" t="str">
        <x:v>kanji</x:v>
      </x:c>
      <x:c r="C6" s="20" t="str">
        <x:v>N3</x:v>
      </x:c>
      <x:c r="D6" s="29" t="n">
        <x:v>341</x:v>
      </x:c>
      <x:c r="E6" s="29" t="n">
        <x:v>341</x:v>
      </x:c>
      <x:c r="F6" s="29" t="n">
        <x:v>341</x:v>
      </x:c>
      <x:c r="G6" s="29" t="n">
        <x:v>341</x:v>
      </x:c>
      <x:c r="H6" s="29" t="n">
        <x:v>341</x:v>
      </x:c>
      <x:c r="I6" s="29" t="n">
        <x:f>(D6-F6)+(D6-G6)+(D6-H6)</x:f>
        <x:v>0</x:v>
      </x:c>
      <x:c r="J6" s="20" t="str">
        <x:v>count-complete-run-gate-to-confirm</x:v>
      </x:c>
    </x:row>
    <x:row r="7">
      <x:c r="A7" s="20" t="str">
        <x:v>N3 Word</x:v>
      </x:c>
      <x:c r="B7" s="20" t="str">
        <x:v>word</x:v>
      </x:c>
      <x:c r="C7" s="20" t="str">
        <x:v>N3</x:v>
      </x:c>
      <x:c r="D7" s="29" t="n">
        <x:v>429</x:v>
      </x:c>
      <x:c r="E7" s="29" t="n">
        <x:v>429</x:v>
      </x:c>
      <x:c r="F7" s="29" t="n">
        <x:v>8</x:v>
      </x:c>
      <x:c r="G7" s="29" t="n">
        <x:v>8</x:v>
      </x:c>
      <x:c r="H7" s="29" t="n">
        <x:v>8</x:v>
      </x:c>
      <x:c r="I7" s="29" t="n">
        <x:f>(D7-F7)+(D7-G7)+(D7-H7)</x:f>
        <x:v>1263</x:v>
      </x:c>
      <x:c r="J7" s="20" t="str">
        <x:v>expected-fail-coverage</x:v>
      </x:c>
    </x:row>
    <x:row r="8">
      <x:c r="A8" s="20" t="str">
        <x:v>N2 Kanji</x:v>
      </x:c>
      <x:c r="B8" s="20" t="str">
        <x:v>kanji</x:v>
      </x:c>
      <x:c r="C8" s="20" t="str">
        <x:v>N2</x:v>
      </x:c>
      <x:c r="D8" s="29" t="n">
        <x:v>349</x:v>
      </x:c>
      <x:c r="E8" s="29" t="n">
        <x:v>349</x:v>
      </x:c>
      <x:c r="F8" s="29" t="n">
        <x:v>349</x:v>
      </x:c>
      <x:c r="G8" s="29" t="n">
        <x:v>349</x:v>
      </x:c>
      <x:c r="H8" s="29" t="n">
        <x:v>349</x:v>
      </x:c>
      <x:c r="I8" s="29" t="n">
        <x:f>(D8-F8)+(D8-G8)+(D8-H8)</x:f>
        <x:v>0</x:v>
      </x:c>
      <x:c r="J8" s="20" t="str">
        <x:v>count-complete-run-gate-to-confirm</x:v>
      </x:c>
    </x:row>
    <x:row r="9">
      <x:c r="A9" s="20" t="str">
        <x:v>N2 Word</x:v>
      </x:c>
      <x:c r="B9" s="20" t="str">
        <x:v>word</x:v>
      </x:c>
      <x:c r="C9" s="20" t="str">
        <x:v>N2</x:v>
      </x:c>
      <x:c r="D9" s="29" t="n">
        <x:v>28</x:v>
      </x:c>
      <x:c r="E9" s="29" t="n">
        <x:v>28</x:v>
      </x:c>
      <x:c r="F9" s="29" t="n">
        <x:v>0</x:v>
      </x:c>
      <x:c r="G9" s="29" t="n">
        <x:v>0</x:v>
      </x:c>
      <x:c r="H9" s="29" t="n">
        <x:v>0</x:v>
      </x:c>
      <x:c r="I9" s="29" t="n">
        <x:f>(D9-F9)+(D9-G9)+(D9-H9)</x:f>
        <x:v>84</x:v>
      </x:c>
      <x:c r="J9" s="20" t="str">
        <x:v>expected-fail-coverage</x:v>
      </x:c>
    </x:row>
    <x:row r="10">
      <x:c r="A10" s="20" t="str">
        <x:v>N1 Kanji</x:v>
      </x:c>
      <x:c r="B10" s="20" t="str">
        <x:v>kanji</x:v>
      </x:c>
      <x:c r="C10" s="20" t="str">
        <x:v>N1</x:v>
      </x:c>
      <x:c r="D10" s="29" t="n">
        <x:v>1230</x:v>
      </x:c>
      <x:c r="E10" s="29" t="n">
        <x:v>1230</x:v>
      </x:c>
      <x:c r="F10" s="29" t="n">
        <x:v>1230</x:v>
      </x:c>
      <x:c r="G10" s="29" t="n">
        <x:v>328</x:v>
      </x:c>
      <x:c r="H10" s="29" t="n">
        <x:v>328</x:v>
      </x:c>
      <x:c r="I10" s="29" t="n">
        <x:f>(D10-F10)+(D10-G10)+(D10-H10)</x:f>
        <x:v>1804</x:v>
      </x:c>
      <x:c r="J10" s="20" t="str">
        <x:v>count-complete-run-gate-to-confirm; expected-fail-coverage</x:v>
      </x:c>
    </x:row>
    <x:row r="11">
      <x:c r="A11" s="20" t="str">
        <x:v>N1 Word</x:v>
      </x:c>
      <x:c r="B11" s="20" t="str">
        <x:v>word</x:v>
      </x:c>
      <x:c r="C11" s="20" t="str">
        <x:v>N1</x:v>
      </x:c>
      <x:c r="D11" s="29" t="n">
        <x:v>26</x:v>
      </x:c>
      <x:c r="E11" s="29" t="n">
        <x:v>26</x:v>
      </x:c>
      <x:c r="F11" s="29" t="n">
        <x:v>0</x:v>
      </x:c>
      <x:c r="G11" s="29" t="n">
        <x:v>0</x:v>
      </x:c>
      <x:c r="H11" s="29" t="n">
        <x:v>0</x:v>
      </x:c>
      <x:c r="I11" s="29" t="n">
        <x:f>(D11-F11)+(D11-G11)+(D11-H11)</x:f>
        <x:v>78</x:v>
      </x:c>
      <x:c r="J11" s="20" t="str">
        <x:v>expected-fail-coverage</x:v>
      </x:c>
    </x:row>
  </x:sheetData>
  <x:pageMargins left="0.7" right="0.7" top="0.75" bottom="0.75" header="0.3" footer="0.3"/>
  <x:tableParts count="1">
    <x:tablePart xmlns:r="http://schemas.openxmlformats.org/officeDocument/2006/relationships" r:id="R26074639321f4b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880000114440918" hidden="0" customWidth="1"/>
    <x:col min="3" max="3" width="8.75" hidden="0" customWidth="1"/>
    <x:col min="4" max="4" width="11.25" hidden="0" customWidth="1"/>
    <x:col min="5" max="5" width="10" hidden="0" customWidth="1"/>
    <x:col min="6" max="6" width="11.880000114440918" hidden="0" customWidth="1"/>
    <x:col min="7" max="7" width="10" hidden="0" customWidth="1"/>
    <x:col min="8" max="8" width="13.130000114440918" hidden="0" customWidth="1"/>
    <x:col min="9" max="9" width="14.380000114440918" hidden="0" customWidth="1"/>
  </x:cols>
  <x:sheetData>
    <x:row r="1" ht="21" customHeight="1">
      <x:c r="A1" s="26" t="str">
        <x:v>Surface</x:v>
      </x:c>
      <x:c r="B1" s="26" t="str">
        <x:v>Deck Kind</x:v>
      </x:c>
      <x:c r="C1" s="26" t="str">
        <x:v>Level</x:v>
      </x:c>
      <x:c r="D1" s="26" t="str">
        <x:v>Lane</x:v>
      </x:c>
      <x:c r="E1" s="26" t="str">
        <x:v>Count</x:v>
      </x:c>
      <x:c r="F1" s="26" t="str">
        <x:v>Denominator</x:v>
      </x:c>
      <x:c r="G1" s="26" t="str">
        <x:v>Missing</x:v>
      </x:c>
      <x:c r="H1" s="26" t="str">
        <x:v>Complete Flag</x:v>
      </x:c>
      <x:c r="I1" s="26" t="str">
        <x:v>Completion Rate</x:v>
      </x:c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20" t="str">
        <x:v>N5 Kanji</x:v>
      </x:c>
      <x:c r="B2" s="20" t="str">
        <x:v>kanji</x:v>
      </x:c>
      <x:c r="C2" s="20" t="str">
        <x:v>N5</x:v>
      </x:c>
      <x:c r="D2" s="20" t="str">
        <x:v>Silver</x:v>
      </x:c>
      <x:c r="E2" s="29" t="n">
        <x:v>80</x:v>
      </x:c>
      <x:c r="F2" s="29" t="n">
        <x:v>80</x:v>
      </x:c>
      <x:c r="G2" s="29" t="n">
        <x:f>F2-E2</x:f>
        <x:v>0</x:v>
      </x:c>
      <x:c r="H2" s="29" t="n">
        <x:f>IF(G2=0,1,0)</x:f>
        <x:v>1</x:v>
      </x:c>
      <x:c r="I2" s="28" t="n">
        <x:f>IF(F2=0,0,E2/F2)</x:f>
        <x:v>1</x:v>
      </x:c>
    </x:row>
    <x:row r="3">
      <x:c r="A3" s="20" t="str">
        <x:v>N5 Kanji</x:v>
      </x:c>
      <x:c r="B3" s="20" t="str">
        <x:v>kanji</x:v>
      </x:c>
      <x:c r="C3" s="20" t="str">
        <x:v>N5</x:v>
      </x:c>
      <x:c r="D3" s="20" t="str">
        <x:v>Gold</x:v>
      </x:c>
      <x:c r="E3" s="29" t="n">
        <x:v>80</x:v>
      </x:c>
      <x:c r="F3" s="29" t="n">
        <x:v>80</x:v>
      </x:c>
      <x:c r="G3" s="29" t="n">
        <x:f>F3-E3</x:f>
        <x:v>0</x:v>
      </x:c>
      <x:c r="H3" s="29" t="n">
        <x:f>IF(G3=0,1,0)</x:f>
        <x:v>1</x:v>
      </x:c>
      <x:c r="I3" s="28" t="n">
        <x:f>IF(F3=0,0,E3/F3)</x:f>
        <x:v>1</x:v>
      </x:c>
    </x:row>
    <x:row r="4">
      <x:c r="A4" s="20" t="str">
        <x:v>N5 Kanji</x:v>
      </x:c>
      <x:c r="B4" s="20" t="str">
        <x:v>kanji</x:v>
      </x:c>
      <x:c r="C4" s="20" t="str">
        <x:v>N5</x:v>
      </x:c>
      <x:c r="D4" s="20" t="str">
        <x:v>Sapphire</x:v>
      </x:c>
      <x:c r="E4" s="29" t="n">
        <x:v>80</x:v>
      </x:c>
      <x:c r="F4" s="29" t="n">
        <x:v>80</x:v>
      </x:c>
      <x:c r="G4" s="29" t="n">
        <x:f>F4-E4</x:f>
        <x:v>0</x:v>
      </x:c>
      <x:c r="H4" s="29" t="n">
        <x:f>IF(G4=0,1,0)</x:f>
        <x:v>1</x:v>
      </x:c>
      <x:c r="I4" s="28" t="n">
        <x:f>IF(F4=0,0,E4/F4)</x:f>
        <x:v>1</x:v>
      </x:c>
    </x:row>
    <x:row r="5">
      <x:c r="A5" s="20" t="str">
        <x:v>N5 Kanji</x:v>
      </x:c>
      <x:c r="B5" s="20" t="str">
        <x:v>kanji</x:v>
      </x:c>
      <x:c r="C5" s="20" t="str">
        <x:v>N5</x:v>
      </x:c>
      <x:c r="D5" s="20" t="str">
        <x:v>Platinum</x:v>
      </x:c>
      <x:c r="E5" s="29" t="n">
        <x:v>80</x:v>
      </x:c>
      <x:c r="F5" s="29" t="n">
        <x:v>80</x:v>
      </x:c>
      <x:c r="G5" s="29" t="n">
        <x:f>F5-E5</x:f>
        <x:v>0</x:v>
      </x:c>
      <x:c r="H5" s="29" t="n">
        <x:f>IF(G5=0,1,0)</x:f>
        <x:v>1</x:v>
      </x:c>
      <x:c r="I5" s="28" t="n">
        <x:f>IF(F5=0,0,E5/F5)</x:f>
        <x:v>1</x:v>
      </x:c>
    </x:row>
    <x:row r="6">
      <x:c r="A6" s="20" t="str">
        <x:v>N5 Word</x:v>
      </x:c>
      <x:c r="B6" s="20" t="str">
        <x:v>word</x:v>
      </x:c>
      <x:c r="C6" s="20" t="str">
        <x:v>N5</x:v>
      </x:c>
      <x:c r="D6" s="20" t="str">
        <x:v>Silver</x:v>
      </x:c>
      <x:c r="E6" s="29" t="n">
        <x:v>287</x:v>
      </x:c>
      <x:c r="F6" s="29" t="n">
        <x:v>287</x:v>
      </x:c>
      <x:c r="G6" s="29" t="n">
        <x:f>F6-E6</x:f>
        <x:v>0</x:v>
      </x:c>
      <x:c r="H6" s="29" t="n">
        <x:f>IF(G6=0,1,0)</x:f>
        <x:v>1</x:v>
      </x:c>
      <x:c r="I6" s="28" t="n">
        <x:f>IF(F6=0,0,E6/F6)</x:f>
        <x:v>1</x:v>
      </x:c>
    </x:row>
    <x:row r="7">
      <x:c r="A7" s="20" t="str">
        <x:v>N5 Word</x:v>
      </x:c>
      <x:c r="B7" s="20" t="str">
        <x:v>word</x:v>
      </x:c>
      <x:c r="C7" s="20" t="str">
        <x:v>N5</x:v>
      </x:c>
      <x:c r="D7" s="20" t="str">
        <x:v>Gold</x:v>
      </x:c>
      <x:c r="E7" s="29" t="n">
        <x:v>287</x:v>
      </x:c>
      <x:c r="F7" s="29" t="n">
        <x:v>287</x:v>
      </x:c>
      <x:c r="G7" s="29" t="n">
        <x:f>F7-E7</x:f>
        <x:v>0</x:v>
      </x:c>
      <x:c r="H7" s="29" t="n">
        <x:f>IF(G7=0,1,0)</x:f>
        <x:v>1</x:v>
      </x:c>
      <x:c r="I7" s="28" t="n">
        <x:f>IF(F7=0,0,E7/F7)</x:f>
        <x:v>1</x:v>
      </x:c>
    </x:row>
    <x:row r="8">
      <x:c r="A8" s="20" t="str">
        <x:v>N5 Word</x:v>
      </x:c>
      <x:c r="B8" s="20" t="str">
        <x:v>word</x:v>
      </x:c>
      <x:c r="C8" s="20" t="str">
        <x:v>N5</x:v>
      </x:c>
      <x:c r="D8" s="20" t="str">
        <x:v>Sapphire</x:v>
      </x:c>
      <x:c r="E8" s="29" t="n">
        <x:v>287</x:v>
      </x:c>
      <x:c r="F8" s="29" t="n">
        <x:v>287</x:v>
      </x:c>
      <x:c r="G8" s="29" t="n">
        <x:f>F8-E8</x:f>
        <x:v>0</x:v>
      </x:c>
      <x:c r="H8" s="29" t="n">
        <x:f>IF(G8=0,1,0)</x:f>
        <x:v>1</x:v>
      </x:c>
      <x:c r="I8" s="28" t="n">
        <x:f>IF(F8=0,0,E8/F8)</x:f>
        <x:v>1</x:v>
      </x:c>
    </x:row>
    <x:row r="9">
      <x:c r="A9" s="20" t="str">
        <x:v>N5 Word</x:v>
      </x:c>
      <x:c r="B9" s="20" t="str">
        <x:v>word</x:v>
      </x:c>
      <x:c r="C9" s="20" t="str">
        <x:v>N5</x:v>
      </x:c>
      <x:c r="D9" s="20" t="str">
        <x:v>Platinum</x:v>
      </x:c>
      <x:c r="E9" s="29" t="n">
        <x:v>287</x:v>
      </x:c>
      <x:c r="F9" s="29" t="n">
        <x:v>287</x:v>
      </x:c>
      <x:c r="G9" s="29" t="n">
        <x:f>F9-E9</x:f>
        <x:v>0</x:v>
      </x:c>
      <x:c r="H9" s="29" t="n">
        <x:f>IF(G9=0,1,0)</x:f>
        <x:v>1</x:v>
      </x:c>
      <x:c r="I9" s="28" t="n">
        <x:f>IF(F9=0,0,E9/F9)</x:f>
        <x:v>1</x:v>
      </x:c>
    </x:row>
    <x:row r="10">
      <x:c r="A10" s="20" t="str">
        <x:v>N4 Kanji</x:v>
      </x:c>
      <x:c r="B10" s="20" t="str">
        <x:v>kanji</x:v>
      </x:c>
      <x:c r="C10" s="20" t="str">
        <x:v>N4</x:v>
      </x:c>
      <x:c r="D10" s="20" t="str">
        <x:v>Silver</x:v>
      </x:c>
      <x:c r="E10" s="29" t="n">
        <x:v>212</x:v>
      </x:c>
      <x:c r="F10" s="29" t="n">
        <x:v>212</x:v>
      </x:c>
      <x:c r="G10" s="29" t="n">
        <x:f>F10-E10</x:f>
        <x:v>0</x:v>
      </x:c>
      <x:c r="H10" s="29" t="n">
        <x:f>IF(G10=0,1,0)</x:f>
        <x:v>1</x:v>
      </x:c>
      <x:c r="I10" s="28" t="n">
        <x:f>IF(F10=0,0,E10/F10)</x:f>
        <x:v>1</x:v>
      </x:c>
    </x:row>
    <x:row r="11">
      <x:c r="A11" s="20" t="str">
        <x:v>N4 Kanji</x:v>
      </x:c>
      <x:c r="B11" s="20" t="str">
        <x:v>kanji</x:v>
      </x:c>
      <x:c r="C11" s="20" t="str">
        <x:v>N4</x:v>
      </x:c>
      <x:c r="D11" s="20" t="str">
        <x:v>Gold</x:v>
      </x:c>
      <x:c r="E11" s="29" t="n">
        <x:v>212</x:v>
      </x:c>
      <x:c r="F11" s="29" t="n">
        <x:v>212</x:v>
      </x:c>
      <x:c r="G11" s="29" t="n">
        <x:f>F11-E11</x:f>
        <x:v>0</x:v>
      </x:c>
      <x:c r="H11" s="29" t="n">
        <x:f>IF(G11=0,1,0)</x:f>
        <x:v>1</x:v>
      </x:c>
      <x:c r="I11" s="28" t="n">
        <x:f>IF(F11=0,0,E11/F11)</x:f>
        <x:v>1</x:v>
      </x:c>
    </x:row>
    <x:row r="12">
      <x:c r="A12" s="20" t="str">
        <x:v>N4 Kanji</x:v>
      </x:c>
      <x:c r="B12" s="20" t="str">
        <x:v>kanji</x:v>
      </x:c>
      <x:c r="C12" s="20" t="str">
        <x:v>N4</x:v>
      </x:c>
      <x:c r="D12" s="20" t="str">
        <x:v>Sapphire</x:v>
      </x:c>
      <x:c r="E12" s="29" t="n">
        <x:v>212</x:v>
      </x:c>
      <x:c r="F12" s="29" t="n">
        <x:v>212</x:v>
      </x:c>
      <x:c r="G12" s="29" t="n">
        <x:f>F12-E12</x:f>
        <x:v>0</x:v>
      </x:c>
      <x:c r="H12" s="29" t="n">
        <x:f>IF(G12=0,1,0)</x:f>
        <x:v>1</x:v>
      </x:c>
      <x:c r="I12" s="28" t="n">
        <x:f>IF(F12=0,0,E12/F12)</x:f>
        <x:v>1</x:v>
      </x:c>
    </x:row>
    <x:row r="13">
      <x:c r="A13" s="20" t="str">
        <x:v>N4 Kanji</x:v>
      </x:c>
      <x:c r="B13" s="20" t="str">
        <x:v>kanji</x:v>
      </x:c>
      <x:c r="C13" s="20" t="str">
        <x:v>N4</x:v>
      </x:c>
      <x:c r="D13" s="20" t="str">
        <x:v>Platinum</x:v>
      </x:c>
      <x:c r="E13" s="29" t="n">
        <x:v>212</x:v>
      </x:c>
      <x:c r="F13" s="29" t="n">
        <x:v>212</x:v>
      </x:c>
      <x:c r="G13" s="29" t="n">
        <x:f>F13-E13</x:f>
        <x:v>0</x:v>
      </x:c>
      <x:c r="H13" s="29" t="n">
        <x:f>IF(G13=0,1,0)</x:f>
        <x:v>1</x:v>
      </x:c>
      <x:c r="I13" s="28" t="n">
        <x:f>IF(F13=0,0,E13/F13)</x:f>
        <x:v>1</x:v>
      </x:c>
    </x:row>
    <x:row r="14">
      <x:c r="A14" s="20" t="str">
        <x:v>N4 Word</x:v>
      </x:c>
      <x:c r="B14" s="20" t="str">
        <x:v>word</x:v>
      </x:c>
      <x:c r="C14" s="20" t="str">
        <x:v>N4</x:v>
      </x:c>
      <x:c r="D14" s="20" t="str">
        <x:v>Silver</x:v>
      </x:c>
      <x:c r="E14" s="29" t="n">
        <x:v>700</x:v>
      </x:c>
      <x:c r="F14" s="29" t="n">
        <x:v>700</x:v>
      </x:c>
      <x:c r="G14" s="29" t="n">
        <x:f>F14-E14</x:f>
        <x:v>0</x:v>
      </x:c>
      <x:c r="H14" s="29" t="n">
        <x:f>IF(G14=0,1,0)</x:f>
        <x:v>1</x:v>
      </x:c>
      <x:c r="I14" s="28" t="n">
        <x:f>IF(F14=0,0,E14/F14)</x:f>
        <x:v>1</x:v>
      </x:c>
    </x:row>
    <x:row r="15">
      <x:c r="A15" s="20" t="str">
        <x:v>N4 Word</x:v>
      </x:c>
      <x:c r="B15" s="20" t="str">
        <x:v>word</x:v>
      </x:c>
      <x:c r="C15" s="20" t="str">
        <x:v>N4</x:v>
      </x:c>
      <x:c r="D15" s="20" t="str">
        <x:v>Gold</x:v>
      </x:c>
      <x:c r="E15" s="29" t="n">
        <x:v>700</x:v>
      </x:c>
      <x:c r="F15" s="29" t="n">
        <x:v>700</x:v>
      </x:c>
      <x:c r="G15" s="29" t="n">
        <x:f>F15-E15</x:f>
        <x:v>0</x:v>
      </x:c>
      <x:c r="H15" s="29" t="n">
        <x:f>IF(G15=0,1,0)</x:f>
        <x:v>1</x:v>
      </x:c>
      <x:c r="I15" s="28" t="n">
        <x:f>IF(F15=0,0,E15/F15)</x:f>
        <x:v>1</x:v>
      </x:c>
    </x:row>
    <x:row r="16">
      <x:c r="A16" s="20" t="str">
        <x:v>N4 Word</x:v>
      </x:c>
      <x:c r="B16" s="20" t="str">
        <x:v>word</x:v>
      </x:c>
      <x:c r="C16" s="20" t="str">
        <x:v>N4</x:v>
      </x:c>
      <x:c r="D16" s="20" t="str">
        <x:v>Sapphire</x:v>
      </x:c>
      <x:c r="E16" s="29" t="n">
        <x:v>700</x:v>
      </x:c>
      <x:c r="F16" s="29" t="n">
        <x:v>700</x:v>
      </x:c>
      <x:c r="G16" s="29" t="n">
        <x:f>F16-E16</x:f>
        <x:v>0</x:v>
      </x:c>
      <x:c r="H16" s="29" t="n">
        <x:f>IF(G16=0,1,0)</x:f>
        <x:v>1</x:v>
      </x:c>
      <x:c r="I16" s="28" t="n">
        <x:f>IF(F16=0,0,E16/F16)</x:f>
        <x:v>1</x:v>
      </x:c>
    </x:row>
    <x:row r="17">
      <x:c r="A17" s="20" t="str">
        <x:v>N4 Word</x:v>
      </x:c>
      <x:c r="B17" s="20" t="str">
        <x:v>word</x:v>
      </x:c>
      <x:c r="C17" s="20" t="str">
        <x:v>N4</x:v>
      </x:c>
      <x:c r="D17" s="20" t="str">
        <x:v>Platinum</x:v>
      </x:c>
      <x:c r="E17" s="29" t="n">
        <x:v>700</x:v>
      </x:c>
      <x:c r="F17" s="29" t="n">
        <x:v>700</x:v>
      </x:c>
      <x:c r="G17" s="29" t="n">
        <x:f>F17-E17</x:f>
        <x:v>0</x:v>
      </x:c>
      <x:c r="H17" s="29" t="n">
        <x:f>IF(G17=0,1,0)</x:f>
        <x:v>1</x:v>
      </x:c>
      <x:c r="I17" s="28" t="n">
        <x:f>IF(F17=0,0,E17/F17)</x:f>
        <x:v>1</x:v>
      </x:c>
    </x:row>
    <x:row r="18">
      <x:c r="A18" s="20" t="str">
        <x:v>N3 Kanji</x:v>
      </x:c>
      <x:c r="B18" s="20" t="str">
        <x:v>kanji</x:v>
      </x:c>
      <x:c r="C18" s="20" t="str">
        <x:v>N3</x:v>
      </x:c>
      <x:c r="D18" s="20" t="str">
        <x:v>Silver</x:v>
      </x:c>
      <x:c r="E18" s="29" t="n">
        <x:v>341</x:v>
      </x:c>
      <x:c r="F18" s="29" t="n">
        <x:v>341</x:v>
      </x:c>
      <x:c r="G18" s="29" t="n">
        <x:f>F18-E18</x:f>
        <x:v>0</x:v>
      </x:c>
      <x:c r="H18" s="29" t="n">
        <x:f>IF(G18=0,1,0)</x:f>
        <x:v>1</x:v>
      </x:c>
      <x:c r="I18" s="28" t="n">
        <x:f>IF(F18=0,0,E18/F18)</x:f>
        <x:v>1</x:v>
      </x:c>
    </x:row>
    <x:row r="19">
      <x:c r="A19" s="20" t="str">
        <x:v>N3 Kanji</x:v>
      </x:c>
      <x:c r="B19" s="20" t="str">
        <x:v>kanji</x:v>
      </x:c>
      <x:c r="C19" s="20" t="str">
        <x:v>N3</x:v>
      </x:c>
      <x:c r="D19" s="20" t="str">
        <x:v>Gold</x:v>
      </x:c>
      <x:c r="E19" s="29" t="n">
        <x:v>341</x:v>
      </x:c>
      <x:c r="F19" s="29" t="n">
        <x:v>341</x:v>
      </x:c>
      <x:c r="G19" s="29" t="n">
        <x:f>F19-E19</x:f>
        <x:v>0</x:v>
      </x:c>
      <x:c r="H19" s="29" t="n">
        <x:f>IF(G19=0,1,0)</x:f>
        <x:v>1</x:v>
      </x:c>
      <x:c r="I19" s="28" t="n">
        <x:f>IF(F19=0,0,E19/F19)</x:f>
        <x:v>1</x:v>
      </x:c>
    </x:row>
    <x:row r="20">
      <x:c r="A20" s="20" t="str">
        <x:v>N3 Kanji</x:v>
      </x:c>
      <x:c r="B20" s="20" t="str">
        <x:v>kanji</x:v>
      </x:c>
      <x:c r="C20" s="20" t="str">
        <x:v>N3</x:v>
      </x:c>
      <x:c r="D20" s="20" t="str">
        <x:v>Sapphire</x:v>
      </x:c>
      <x:c r="E20" s="29" t="n">
        <x:v>341</x:v>
      </x:c>
      <x:c r="F20" s="29" t="n">
        <x:v>341</x:v>
      </x:c>
      <x:c r="G20" s="29" t="n">
        <x:f>F20-E20</x:f>
        <x:v>0</x:v>
      </x:c>
      <x:c r="H20" s="29" t="n">
        <x:f>IF(G20=0,1,0)</x:f>
        <x:v>1</x:v>
      </x:c>
      <x:c r="I20" s="28" t="n">
        <x:f>IF(F20=0,0,E20/F20)</x:f>
        <x:v>1</x:v>
      </x:c>
    </x:row>
    <x:row r="21">
      <x:c r="A21" s="20" t="str">
        <x:v>N3 Kanji</x:v>
      </x:c>
      <x:c r="B21" s="20" t="str">
        <x:v>kanji</x:v>
      </x:c>
      <x:c r="C21" s="20" t="str">
        <x:v>N3</x:v>
      </x:c>
      <x:c r="D21" s="20" t="str">
        <x:v>Platinum</x:v>
      </x:c>
      <x:c r="E21" s="29" t="n">
        <x:v>341</x:v>
      </x:c>
      <x:c r="F21" s="29" t="n">
        <x:v>341</x:v>
      </x:c>
      <x:c r="G21" s="29" t="n">
        <x:f>F21-E21</x:f>
        <x:v>0</x:v>
      </x:c>
      <x:c r="H21" s="29" t="n">
        <x:f>IF(G21=0,1,0)</x:f>
        <x:v>1</x:v>
      </x:c>
      <x:c r="I21" s="28" t="n">
        <x:f>IF(F21=0,0,E21/F21)</x:f>
        <x:v>1</x:v>
      </x:c>
    </x:row>
    <x:row r="22">
      <x:c r="A22" s="20" t="str">
        <x:v>N3 Word</x:v>
      </x:c>
      <x:c r="B22" s="20" t="str">
        <x:v>word</x:v>
      </x:c>
      <x:c r="C22" s="20" t="str">
        <x:v>N3</x:v>
      </x:c>
      <x:c r="D22" s="20" t="str">
        <x:v>Silver</x:v>
      </x:c>
      <x:c r="E22" s="29" t="n">
        <x:v>429</x:v>
      </x:c>
      <x:c r="F22" s="29" t="n">
        <x:v>429</x:v>
      </x:c>
      <x:c r="G22" s="29" t="n">
        <x:f>F22-E22</x:f>
        <x:v>0</x:v>
      </x:c>
      <x:c r="H22" s="29" t="n">
        <x:f>IF(G22=0,1,0)</x:f>
        <x:v>1</x:v>
      </x:c>
      <x:c r="I22" s="28" t="n">
        <x:f>IF(F22=0,0,E22/F22)</x:f>
        <x:v>1</x:v>
      </x:c>
    </x:row>
    <x:row r="23">
      <x:c r="A23" s="20" t="str">
        <x:v>N3 Word</x:v>
      </x:c>
      <x:c r="B23" s="20" t="str">
        <x:v>word</x:v>
      </x:c>
      <x:c r="C23" s="20" t="str">
        <x:v>N3</x:v>
      </x:c>
      <x:c r="D23" s="20" t="str">
        <x:v>Gold</x:v>
      </x:c>
      <x:c r="E23" s="29" t="n">
        <x:v>8</x:v>
      </x:c>
      <x:c r="F23" s="29" t="n">
        <x:v>429</x:v>
      </x:c>
      <x:c r="G23" s="29" t="n">
        <x:f>F23-E23</x:f>
        <x:v>421</x:v>
      </x:c>
      <x:c r="H23" s="29" t="n">
        <x:f>IF(G23=0,1,0)</x:f>
        <x:v>0</x:v>
      </x:c>
      <x:c r="I23" s="28" t="n">
        <x:f>IF(F23=0,0,E23/F23)</x:f>
        <x:v>0.018648018648018648</x:v>
      </x:c>
    </x:row>
    <x:row r="24">
      <x:c r="A24" s="20" t="str">
        <x:v>N3 Word</x:v>
      </x:c>
      <x:c r="B24" s="20" t="str">
        <x:v>word</x:v>
      </x:c>
      <x:c r="C24" s="20" t="str">
        <x:v>N3</x:v>
      </x:c>
      <x:c r="D24" s="20" t="str">
        <x:v>Sapphire</x:v>
      </x:c>
      <x:c r="E24" s="29" t="n">
        <x:v>8</x:v>
      </x:c>
      <x:c r="F24" s="29" t="n">
        <x:v>429</x:v>
      </x:c>
      <x:c r="G24" s="29" t="n">
        <x:f>F24-E24</x:f>
        <x:v>421</x:v>
      </x:c>
      <x:c r="H24" s="29" t="n">
        <x:f>IF(G24=0,1,0)</x:f>
        <x:v>0</x:v>
      </x:c>
      <x:c r="I24" s="28" t="n">
        <x:f>IF(F24=0,0,E24/F24)</x:f>
        <x:v>0.018648018648018648</x:v>
      </x:c>
    </x:row>
    <x:row r="25">
      <x:c r="A25" s="20" t="str">
        <x:v>N3 Word</x:v>
      </x:c>
      <x:c r="B25" s="20" t="str">
        <x:v>word</x:v>
      </x:c>
      <x:c r="C25" s="20" t="str">
        <x:v>N3</x:v>
      </x:c>
      <x:c r="D25" s="20" t="str">
        <x:v>Platinum</x:v>
      </x:c>
      <x:c r="E25" s="29" t="n">
        <x:v>8</x:v>
      </x:c>
      <x:c r="F25" s="29" t="n">
        <x:v>429</x:v>
      </x:c>
      <x:c r="G25" s="29" t="n">
        <x:f>F25-E25</x:f>
        <x:v>421</x:v>
      </x:c>
      <x:c r="H25" s="29" t="n">
        <x:f>IF(G25=0,1,0)</x:f>
        <x:v>0</x:v>
      </x:c>
      <x:c r="I25" s="28" t="n">
        <x:f>IF(F25=0,0,E25/F25)</x:f>
        <x:v>0.018648018648018648</x:v>
      </x:c>
    </x:row>
    <x:row r="26">
      <x:c r="A26" s="20" t="str">
        <x:v>N2 Kanji</x:v>
      </x:c>
      <x:c r="B26" s="20" t="str">
        <x:v>kanji</x:v>
      </x:c>
      <x:c r="C26" s="20" t="str">
        <x:v>N2</x:v>
      </x:c>
      <x:c r="D26" s="20" t="str">
        <x:v>Silver</x:v>
      </x:c>
      <x:c r="E26" s="29" t="n">
        <x:v>349</x:v>
      </x:c>
      <x:c r="F26" s="29" t="n">
        <x:v>349</x:v>
      </x:c>
      <x:c r="G26" s="29" t="n">
        <x:f>F26-E26</x:f>
        <x:v>0</x:v>
      </x:c>
      <x:c r="H26" s="29" t="n">
        <x:f>IF(G26=0,1,0)</x:f>
        <x:v>1</x:v>
      </x:c>
      <x:c r="I26" s="28" t="n">
        <x:f>IF(F26=0,0,E26/F26)</x:f>
        <x:v>1</x:v>
      </x:c>
    </x:row>
    <x:row r="27">
      <x:c r="A27" s="20" t="str">
        <x:v>N2 Kanji</x:v>
      </x:c>
      <x:c r="B27" s="20" t="str">
        <x:v>kanji</x:v>
      </x:c>
      <x:c r="C27" s="20" t="str">
        <x:v>N2</x:v>
      </x:c>
      <x:c r="D27" s="20" t="str">
        <x:v>Gold</x:v>
      </x:c>
      <x:c r="E27" s="29" t="n">
        <x:v>349</x:v>
      </x:c>
      <x:c r="F27" s="29" t="n">
        <x:v>349</x:v>
      </x:c>
      <x:c r="G27" s="29" t="n">
        <x:f>F27-E27</x:f>
        <x:v>0</x:v>
      </x:c>
      <x:c r="H27" s="29" t="n">
        <x:f>IF(G27=0,1,0)</x:f>
        <x:v>1</x:v>
      </x:c>
      <x:c r="I27" s="28" t="n">
        <x:f>IF(F27=0,0,E27/F27)</x:f>
        <x:v>1</x:v>
      </x:c>
    </x:row>
    <x:row r="28">
      <x:c r="A28" s="20" t="str">
        <x:v>N2 Kanji</x:v>
      </x:c>
      <x:c r="B28" s="20" t="str">
        <x:v>kanji</x:v>
      </x:c>
      <x:c r="C28" s="20" t="str">
        <x:v>N2</x:v>
      </x:c>
      <x:c r="D28" s="20" t="str">
        <x:v>Sapphire</x:v>
      </x:c>
      <x:c r="E28" s="29" t="n">
        <x:v>349</x:v>
      </x:c>
      <x:c r="F28" s="29" t="n">
        <x:v>349</x:v>
      </x:c>
      <x:c r="G28" s="29" t="n">
        <x:f>F28-E28</x:f>
        <x:v>0</x:v>
      </x:c>
      <x:c r="H28" s="29" t="n">
        <x:f>IF(G28=0,1,0)</x:f>
        <x:v>1</x:v>
      </x:c>
      <x:c r="I28" s="28" t="n">
        <x:f>IF(F28=0,0,E28/F28)</x:f>
        <x:v>1</x:v>
      </x:c>
    </x:row>
    <x:row r="29">
      <x:c r="A29" s="20" t="str">
        <x:v>N2 Kanji</x:v>
      </x:c>
      <x:c r="B29" s="20" t="str">
        <x:v>kanji</x:v>
      </x:c>
      <x:c r="C29" s="20" t="str">
        <x:v>N2</x:v>
      </x:c>
      <x:c r="D29" s="20" t="str">
        <x:v>Platinum</x:v>
      </x:c>
      <x:c r="E29" s="29" t="n">
        <x:v>349</x:v>
      </x:c>
      <x:c r="F29" s="29" t="n">
        <x:v>349</x:v>
      </x:c>
      <x:c r="G29" s="29" t="n">
        <x:f>F29-E29</x:f>
        <x:v>0</x:v>
      </x:c>
      <x:c r="H29" s="29" t="n">
        <x:f>IF(G29=0,1,0)</x:f>
        <x:v>1</x:v>
      </x:c>
      <x:c r="I29" s="28" t="n">
        <x:f>IF(F29=0,0,E29/F29)</x:f>
        <x:v>1</x:v>
      </x:c>
    </x:row>
    <x:row r="30">
      <x:c r="A30" s="20" t="str">
        <x:v>N2 Word</x:v>
      </x:c>
      <x:c r="B30" s="20" t="str">
        <x:v>word</x:v>
      </x:c>
      <x:c r="C30" s="20" t="str">
        <x:v>N2</x:v>
      </x:c>
      <x:c r="D30" s="20" t="str">
        <x:v>Silver</x:v>
      </x:c>
      <x:c r="E30" s="29" t="n">
        <x:v>28</x:v>
      </x:c>
      <x:c r="F30" s="29" t="n">
        <x:v>28</x:v>
      </x:c>
      <x:c r="G30" s="29" t="n">
        <x:f>F30-E30</x:f>
        <x:v>0</x:v>
      </x:c>
      <x:c r="H30" s="29" t="n">
        <x:f>IF(G30=0,1,0)</x:f>
        <x:v>1</x:v>
      </x:c>
      <x:c r="I30" s="28" t="n">
        <x:f>IF(F30=0,0,E30/F30)</x:f>
        <x:v>1</x:v>
      </x:c>
    </x:row>
    <x:row r="31">
      <x:c r="A31" s="20" t="str">
        <x:v>N2 Word</x:v>
      </x:c>
      <x:c r="B31" s="20" t="str">
        <x:v>word</x:v>
      </x:c>
      <x:c r="C31" s="20" t="str">
        <x:v>N2</x:v>
      </x:c>
      <x:c r="D31" s="20" t="str">
        <x:v>Gold</x:v>
      </x:c>
      <x:c r="E31" s="29" t="n">
        <x:v>0</x:v>
      </x:c>
      <x:c r="F31" s="29" t="n">
        <x:v>28</x:v>
      </x:c>
      <x:c r="G31" s="29" t="n">
        <x:f>F31-E31</x:f>
        <x:v>28</x:v>
      </x:c>
      <x:c r="H31" s="29" t="n">
        <x:f>IF(G31=0,1,0)</x:f>
        <x:v>0</x:v>
      </x:c>
      <x:c r="I31" s="28" t="n">
        <x:f>IF(F31=0,0,E31/F31)</x:f>
        <x:v>0</x:v>
      </x:c>
    </x:row>
    <x:row r="32">
      <x:c r="A32" s="20" t="str">
        <x:v>N2 Word</x:v>
      </x:c>
      <x:c r="B32" s="20" t="str">
        <x:v>word</x:v>
      </x:c>
      <x:c r="C32" s="20" t="str">
        <x:v>N2</x:v>
      </x:c>
      <x:c r="D32" s="20" t="str">
        <x:v>Sapphire</x:v>
      </x:c>
      <x:c r="E32" s="29" t="n">
        <x:v>0</x:v>
      </x:c>
      <x:c r="F32" s="29" t="n">
        <x:v>28</x:v>
      </x:c>
      <x:c r="G32" s="29" t="n">
        <x:f>F32-E32</x:f>
        <x:v>28</x:v>
      </x:c>
      <x:c r="H32" s="29" t="n">
        <x:f>IF(G32=0,1,0)</x:f>
        <x:v>0</x:v>
      </x:c>
      <x:c r="I32" s="28" t="n">
        <x:f>IF(F32=0,0,E32/F32)</x:f>
        <x:v>0</x:v>
      </x:c>
    </x:row>
    <x:row r="33">
      <x:c r="A33" s="20" t="str">
        <x:v>N2 Word</x:v>
      </x:c>
      <x:c r="B33" s="20" t="str">
        <x:v>word</x:v>
      </x:c>
      <x:c r="C33" s="20" t="str">
        <x:v>N2</x:v>
      </x:c>
      <x:c r="D33" s="20" t="str">
        <x:v>Platinum</x:v>
      </x:c>
      <x:c r="E33" s="29" t="n">
        <x:v>0</x:v>
      </x:c>
      <x:c r="F33" s="29" t="n">
        <x:v>28</x:v>
      </x:c>
      <x:c r="G33" s="29" t="n">
        <x:f>F33-E33</x:f>
        <x:v>28</x:v>
      </x:c>
      <x:c r="H33" s="29" t="n">
        <x:f>IF(G33=0,1,0)</x:f>
        <x:v>0</x:v>
      </x:c>
      <x:c r="I33" s="28" t="n">
        <x:f>IF(F33=0,0,E33/F33)</x:f>
        <x:v>0</x:v>
      </x:c>
    </x:row>
    <x:row r="34">
      <x:c r="A34" s="20" t="str">
        <x:v>N1 Kanji</x:v>
      </x:c>
      <x:c r="B34" s="20" t="str">
        <x:v>kanji</x:v>
      </x:c>
      <x:c r="C34" s="20" t="str">
        <x:v>N1</x:v>
      </x:c>
      <x:c r="D34" s="20" t="str">
        <x:v>Silver</x:v>
      </x:c>
      <x:c r="E34" s="29" t="n">
        <x:v>1230</x:v>
      </x:c>
      <x:c r="F34" s="29" t="n">
        <x:v>1230</x:v>
      </x:c>
      <x:c r="G34" s="29" t="n">
        <x:f>F34-E34</x:f>
        <x:v>0</x:v>
      </x:c>
      <x:c r="H34" s="29" t="n">
        <x:f>IF(G34=0,1,0)</x:f>
        <x:v>1</x:v>
      </x:c>
      <x:c r="I34" s="28" t="n">
        <x:f>IF(F34=0,0,E34/F34)</x:f>
        <x:v>1</x:v>
      </x:c>
    </x:row>
    <x:row r="35">
      <x:c r="A35" s="20" t="str">
        <x:v>N1 Kanji</x:v>
      </x:c>
      <x:c r="B35" s="20" t="str">
        <x:v>kanji</x:v>
      </x:c>
      <x:c r="C35" s="20" t="str">
        <x:v>N1</x:v>
      </x:c>
      <x:c r="D35" s="20" t="str">
        <x:v>Gold</x:v>
      </x:c>
      <x:c r="E35" s="29" t="n">
        <x:v>1230</x:v>
      </x:c>
      <x:c r="F35" s="29" t="n">
        <x:v>1230</x:v>
      </x:c>
      <x:c r="G35" s="29" t="n">
        <x:f>F35-E35</x:f>
        <x:v>0</x:v>
      </x:c>
      <x:c r="H35" s="29" t="n">
        <x:f>IF(G35=0,1,0)</x:f>
        <x:v>1</x:v>
      </x:c>
      <x:c r="I35" s="28" t="n">
        <x:f>IF(F35=0,0,E35/F35)</x:f>
        <x:v>1</x:v>
      </x:c>
    </x:row>
    <x:row r="36">
      <x:c r="A36" s="20" t="str">
        <x:v>N1 Kanji</x:v>
      </x:c>
      <x:c r="B36" s="20" t="str">
        <x:v>kanji</x:v>
      </x:c>
      <x:c r="C36" s="20" t="str">
        <x:v>N1</x:v>
      </x:c>
      <x:c r="D36" s="20" t="str">
        <x:v>Sapphire</x:v>
      </x:c>
      <x:c r="E36" s="29" t="n">
        <x:v>328</x:v>
      </x:c>
      <x:c r="F36" s="29" t="n">
        <x:v>1230</x:v>
      </x:c>
      <x:c r="G36" s="29" t="n">
        <x:f>F36-E36</x:f>
        <x:v>902</x:v>
      </x:c>
      <x:c r="H36" s="29" t="n">
        <x:f>IF(G36=0,1,0)</x:f>
        <x:v>0</x:v>
      </x:c>
      <x:c r="I36" s="28" t="n">
        <x:f>IF(F36=0,0,E36/F36)</x:f>
        <x:v>0.26666666666666666</x:v>
      </x:c>
    </x:row>
    <x:row r="37">
      <x:c r="A37" s="20" t="str">
        <x:v>N1 Kanji</x:v>
      </x:c>
      <x:c r="B37" s="20" t="str">
        <x:v>kanji</x:v>
      </x:c>
      <x:c r="C37" s="20" t="str">
        <x:v>N1</x:v>
      </x:c>
      <x:c r="D37" s="20" t="str">
        <x:v>Platinum</x:v>
      </x:c>
      <x:c r="E37" s="29" t="n">
        <x:v>328</x:v>
      </x:c>
      <x:c r="F37" s="29" t="n">
        <x:v>1230</x:v>
      </x:c>
      <x:c r="G37" s="29" t="n">
        <x:f>F37-E37</x:f>
        <x:v>902</x:v>
      </x:c>
      <x:c r="H37" s="29" t="n">
        <x:f>IF(G37=0,1,0)</x:f>
        <x:v>0</x:v>
      </x:c>
      <x:c r="I37" s="28" t="n">
        <x:f>IF(F37=0,0,E37/F37)</x:f>
        <x:v>0.26666666666666666</x:v>
      </x:c>
    </x:row>
    <x:row r="38">
      <x:c r="A38" s="20" t="str">
        <x:v>N1 Word</x:v>
      </x:c>
      <x:c r="B38" s="20" t="str">
        <x:v>word</x:v>
      </x:c>
      <x:c r="C38" s="20" t="str">
        <x:v>N1</x:v>
      </x:c>
      <x:c r="D38" s="20" t="str">
        <x:v>Silver</x:v>
      </x:c>
      <x:c r="E38" s="29" t="n">
        <x:v>26</x:v>
      </x:c>
      <x:c r="F38" s="29" t="n">
        <x:v>26</x:v>
      </x:c>
      <x:c r="G38" s="29" t="n">
        <x:f>F38-E38</x:f>
        <x:v>0</x:v>
      </x:c>
      <x:c r="H38" s="29" t="n">
        <x:f>IF(G38=0,1,0)</x:f>
        <x:v>1</x:v>
      </x:c>
      <x:c r="I38" s="28" t="n">
        <x:f>IF(F38=0,0,E38/F38)</x:f>
        <x:v>1</x:v>
      </x:c>
    </x:row>
    <x:row r="39">
      <x:c r="A39" s="20" t="str">
        <x:v>N1 Word</x:v>
      </x:c>
      <x:c r="B39" s="20" t="str">
        <x:v>word</x:v>
      </x:c>
      <x:c r="C39" s="20" t="str">
        <x:v>N1</x:v>
      </x:c>
      <x:c r="D39" s="20" t="str">
        <x:v>Gold</x:v>
      </x:c>
      <x:c r="E39" s="29" t="n">
        <x:v>0</x:v>
      </x:c>
      <x:c r="F39" s="29" t="n">
        <x:v>26</x:v>
      </x:c>
      <x:c r="G39" s="29" t="n">
        <x:f>F39-E39</x:f>
        <x:v>26</x:v>
      </x:c>
      <x:c r="H39" s="29" t="n">
        <x:f>IF(G39=0,1,0)</x:f>
        <x:v>0</x:v>
      </x:c>
      <x:c r="I39" s="28" t="n">
        <x:f>IF(F39=0,0,E39/F39)</x:f>
        <x:v>0</x:v>
      </x:c>
    </x:row>
    <x:row r="40">
      <x:c r="A40" s="20" t="str">
        <x:v>N1 Word</x:v>
      </x:c>
      <x:c r="B40" s="20" t="str">
        <x:v>word</x:v>
      </x:c>
      <x:c r="C40" s="20" t="str">
        <x:v>N1</x:v>
      </x:c>
      <x:c r="D40" s="20" t="str">
        <x:v>Sapphire</x:v>
      </x:c>
      <x:c r="E40" s="29" t="n">
        <x:v>0</x:v>
      </x:c>
      <x:c r="F40" s="29" t="n">
        <x:v>26</x:v>
      </x:c>
      <x:c r="G40" s="29" t="n">
        <x:f>F40-E40</x:f>
        <x:v>26</x:v>
      </x:c>
      <x:c r="H40" s="29" t="n">
        <x:f>IF(G40=0,1,0)</x:f>
        <x:v>0</x:v>
      </x:c>
      <x:c r="I40" s="28" t="n">
        <x:f>IF(F40=0,0,E40/F40)</x:f>
        <x:v>0</x:v>
      </x:c>
    </x:row>
    <x:row r="41">
      <x:c r="A41" s="20" t="str">
        <x:v>N1 Word</x:v>
      </x:c>
      <x:c r="B41" s="20" t="str">
        <x:v>word</x:v>
      </x:c>
      <x:c r="C41" s="20" t="str">
        <x:v>N1</x:v>
      </x:c>
      <x:c r="D41" s="20" t="str">
        <x:v>Platinum</x:v>
      </x:c>
      <x:c r="E41" s="29" t="n">
        <x:v>0</x:v>
      </x:c>
      <x:c r="F41" s="29" t="n">
        <x:v>26</x:v>
      </x:c>
      <x:c r="G41" s="29" t="n">
        <x:f>F41-E41</x:f>
        <x:v>26</x:v>
      </x:c>
      <x:c r="H41" s="29" t="n">
        <x:f>IF(G41=0,1,0)</x:f>
        <x:v>0</x:v>
      </x:c>
      <x:c r="I41" s="28" t="n">
        <x:f>IF(F41=0,0,E41/F41)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00776f1d894b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1.25" hidden="0" customWidth="1"/>
    <x:col min="3" max="3" width="16.25" hidden="0" customWidth="1"/>
    <x:col min="4" max="4" width="13.130000114440918" hidden="0" customWidth="1"/>
    <x:col min="5" max="5" width="13.75" hidden="0" customWidth="1"/>
    <x:col min="6" max="6" width="14.380000114440918" hidden="0" customWidth="1"/>
    <x:col min="7" max="7" width="14.380000114440918" hidden="0" customWidth="1"/>
    <x:col min="8" max="8" width="15.630000114440918" hidden="0" customWidth="1"/>
    <x:col min="9" max="9" width="15" hidden="0" customWidth="1"/>
    <x:col min="10" max="10" width="13.130000114440918" hidden="0" customWidth="1"/>
    <x:col min="11" max="11" width="13.130000114440918" hidden="0" customWidth="1"/>
    <x:col min="12" max="12" width="12.5" hidden="0" customWidth="1"/>
    <x:col min="13" max="13" width="10" hidden="0" customWidth="1"/>
    <x:col min="14" max="14" width="10" hidden="0" customWidth="1"/>
    <x:col min="15" max="15" width="10" hidden="0" customWidth="1"/>
    <x:col min="16" max="16" width="26.25" hidden="0" customWidth="1"/>
  </x:cols>
  <x:sheetData>
    <x:row r="1" ht="21" customHeight="1">
      <x:c r="A1" s="26" t="str">
        <x:v>Level</x:v>
      </x:c>
      <x:c r="B1" s="26" t="str">
        <x:v>Level Number</x:v>
      </x:c>
      <x:c r="C1" s="26" t="str">
        <x:v>Canonical Inventory</x:v>
      </x:c>
      <x:c r="D1" s="26" t="str">
        <x:v>Built Eligible</x:v>
      </x:c>
      <x:c r="E1" s="26" t="str">
        <x:v>Total Readings</x:v>
      </x:c>
      <x:c r="F1" s="26" t="str">
        <x:v>Covered Readings</x:v>
      </x:c>
      <x:c r="G1" s="26" t="str">
        <x:v>Reading Coverage</x:v>
      </x:c>
      <x:c r="H1" s="26" t="str">
        <x:v>Missing Word Cards</x:v>
      </x:c>
      <x:c r="I1" s="26" t="str">
        <x:v>Missing Examples</x:v>
      </x:c>
      <x:c r="J1" s="26" t="str">
        <x:v>Variant Gaps</x:v>
      </x:c>
      <x:c r="K1" s="26" t="str">
        <x:v>Distinct Gaps</x:v>
      </x:c>
      <x:c r="L1" s="26" t="str">
        <x:v>Triage Total</x:v>
      </x:c>
      <x:c r="M1" s="26" t="str">
        <x:v>High</x:v>
      </x:c>
      <x:c r="N1" s="26" t="str">
        <x:v>Medium</x:v>
      </x:c>
      <x:c r="O1" s="26" t="str">
        <x:v>Low</x:v>
      </x:c>
      <x:c r="P1" s="26" t="str">
        <x:v>Readiness</x:v>
      </x:c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20" t="str">
        <x:v>N5</x:v>
      </x:c>
      <x:c r="B2" s="29" t="n">
        <x:v>5</x:v>
      </x:c>
      <x:c r="C2" s="29" t="n">
        <x:v>287</x:v>
      </x:c>
      <x:c r="D2" s="29" t="n">
        <x:v>287</x:v>
      </x:c>
      <x:c r="E2" s="29" t="n">
        <x:v>344</x:v>
      </x:c>
      <x:c r="F2" s="29" t="n">
        <x:v>233</x:v>
      </x:c>
      <x:c r="G2" s="28" t="n">
        <x:f>IF(E2=0,0,F2/E2)</x:f>
        <x:v>0.6773255813953488</x:v>
      </x:c>
      <x:c r="H2" s="29" t="n">
        <x:v>1</x:v>
      </x:c>
      <x:c r="I2" s="29" t="n">
        <x:v>110</x:v>
      </x:c>
      <x:c r="J2" s="29" t="n">
        <x:v>17</x:v>
      </x:c>
      <x:c r="K2" s="29" t="n">
        <x:v>94</x:v>
      </x:c>
      <x:c r="L2" s="29" t="n">
        <x:v>111</x:v>
      </x:c>
      <x:c r="M2" s="29" t="n">
        <x:v>0</x:v>
      </x:c>
      <x:c r="N2" s="29" t="n">
        <x:v>0</x:v>
      </x:c>
      <x:c r="O2" s="29" t="n">
        <x:v>111</x:v>
      </x:c>
      <x:c r="P2" s="20" t="str">
        <x:v>ready_with_deferred_variants</x:v>
      </x:c>
    </x:row>
    <x:row r="3">
      <x:c r="A3" s="20" t="str">
        <x:v>N4</x:v>
      </x:c>
      <x:c r="B3" s="29" t="n">
        <x:v>4</x:v>
      </x:c>
      <x:c r="C3" s="29" t="n">
        <x:v>700</x:v>
      </x:c>
      <x:c r="D3" s="29" t="n">
        <x:v>700</x:v>
      </x:c>
      <x:c r="E3" s="29" t="n">
        <x:v>755</x:v>
      </x:c>
      <x:c r="F3" s="29" t="n">
        <x:v>579</x:v>
      </x:c>
      <x:c r="G3" s="28" t="n">
        <x:f>IF(E3=0,0,F3/E3)</x:f>
        <x:v>0.766887417218543</x:v>
      </x:c>
      <x:c r="H3" s="29" t="n">
        <x:v>0</x:v>
      </x:c>
      <x:c r="I3" s="29" t="n">
        <x:v>176</x:v>
      </x:c>
      <x:c r="J3" s="29" t="n">
        <x:v>28</x:v>
      </x:c>
      <x:c r="K3" s="29" t="n">
        <x:v>148</x:v>
      </x:c>
      <x:c r="L3" s="29" t="n">
        <x:v>176</x:v>
      </x:c>
      <x:c r="M3" s="29" t="n">
        <x:v>0</x:v>
      </x:c>
      <x:c r="N3" s="29" t="n">
        <x:v>0</x:v>
      </x:c>
      <x:c r="O3" s="29" t="n">
        <x:v>176</x:v>
      </x:c>
      <x:c r="P3" s="20" t="str">
        <x:v>ready_with_deferred_variants</x:v>
      </x:c>
    </x:row>
    <x:row r="4">
      <x:c r="A4" s="20" t="str">
        <x:v>N3</x:v>
      </x:c>
      <x:c r="B4" s="29" t="n">
        <x:v>3</x:v>
      </x:c>
      <x:c r="C4" s="29" t="n">
        <x:v>429</x:v>
      </x:c>
      <x:c r="D4" s="29" t="n">
        <x:v>429</x:v>
      </x:c>
      <x:c r="E4" s="29" t="n">
        <x:v>1184</x:v>
      </x:c>
      <x:c r="F4" s="29" t="n">
        <x:v>413</x:v>
      </x:c>
      <x:c r="G4" s="28" t="n">
        <x:f>IF(E4=0,0,F4/E4)</x:f>
        <x:v>0.34881756756756754</x:v>
      </x:c>
      <x:c r="H4" s="29" t="n">
        <x:v>38</x:v>
      </x:c>
      <x:c r="I4" s="29" t="n">
        <x:v>733</x:v>
      </x:c>
      <x:c r="J4" s="29" t="n">
        <x:v>19</x:v>
      </x:c>
      <x:c r="K4" s="29" t="n">
        <x:v>752</x:v>
      </x:c>
      <x:c r="L4" s="29" t="n">
        <x:v>771</x:v>
      </x:c>
      <x:c r="M4" s="29" t="n">
        <x:v>714</x:v>
      </x:c>
      <x:c r="N4" s="29" t="n">
        <x:v>38</x:v>
      </x:c>
      <x:c r="O4" s="29" t="n">
        <x:v>19</x:v>
      </x:c>
      <x:c r="P4" s="20" t="str">
        <x:v>incomplete</x:v>
      </x:c>
    </x:row>
    <x:row r="5">
      <x:c r="A5" s="20" t="str">
        <x:v>N2</x:v>
      </x:c>
      <x:c r="B5" s="29" t="n">
        <x:v>2</x:v>
      </x:c>
      <x:c r="C5" s="29" t="n">
        <x:v>28</x:v>
      </x:c>
      <x:c r="D5" s="29" t="n">
        <x:v>28</x:v>
      </x:c>
      <x:c r="E5" s="29" t="n">
        <x:v>1045</x:v>
      </x:c>
      <x:c r="F5" s="29" t="n">
        <x:v>56</x:v>
      </x:c>
      <x:c r="G5" s="28" t="n">
        <x:f>IF(E5=0,0,F5/E5)</x:f>
        <x:v>0.053588516746411484</x:v>
      </x:c>
      <x:c r="H5" s="29" t="n">
        <x:v>327</x:v>
      </x:c>
      <x:c r="I5" s="29" t="n">
        <x:v>662</x:v>
      </x:c>
      <x:c r="J5" s="29" t="n">
        <x:v>0</x:v>
      </x:c>
      <x:c r="K5" s="29" t="n">
        <x:v>989</x:v>
      </x:c>
      <x:c r="L5" s="29" t="n">
        <x:v>989</x:v>
      </x:c>
      <x:c r="M5" s="29" t="n">
        <x:v>662</x:v>
      </x:c>
      <x:c r="N5" s="29" t="n">
        <x:v>327</x:v>
      </x:c>
      <x:c r="O5" s="29" t="n">
        <x:v>0</x:v>
      </x:c>
      <x:c r="P5" s="20" t="str">
        <x:v>incomplete</x:v>
      </x:c>
    </x:row>
    <x:row r="6">
      <x:c r="A6" s="20" t="str">
        <x:v>N1</x:v>
      </x:c>
      <x:c r="B6" s="29" t="n">
        <x:v>1</x:v>
      </x:c>
      <x:c r="C6" s="29" t="n">
        <x:v>26</x:v>
      </x:c>
      <x:c r="D6" s="29" t="n">
        <x:v>26</x:v>
      </x:c>
      <x:c r="E6" s="29" t="n">
        <x:v>3274</x:v>
      </x:c>
      <x:c r="F6" s="29" t="n">
        <x:v>41</x:v>
      </x:c>
      <x:c r="G6" s="28" t="n">
        <x:f>IF(E6=0,0,F6/E6)</x:f>
        <x:v>0.012522907758094075</x:v>
      </x:c>
      <x:c r="H6" s="29" t="n">
        <x:v>1238</x:v>
      </x:c>
      <x:c r="I6" s="29" t="n">
        <x:v>1995</x:v>
      </x:c>
      <x:c r="J6" s="29" t="n">
        <x:v>2</x:v>
      </x:c>
      <x:c r="K6" s="29" t="n">
        <x:v>3231</x:v>
      </x:c>
      <x:c r="L6" s="29" t="n">
        <x:v>3233</x:v>
      </x:c>
      <x:c r="M6" s="29" t="n">
        <x:v>1993</x:v>
      </x:c>
      <x:c r="N6" s="29" t="n">
        <x:v>1238</x:v>
      </x:c>
      <x:c r="O6" s="29" t="n">
        <x:v>2</x:v>
      </x:c>
      <x:c r="P6" s="20" t="str">
        <x:v>incomplete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3aae0137d08443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6299991607666" hidden="0" customWidth="1"/>
    <x:col min="2" max="2" width="17.5" hidden="0" customWidth="1"/>
    <x:col min="3" max="3" width="16.8799991607666" hidden="0" customWidth="1"/>
    <x:col min="4" max="4" width="11.25" hidden="0" customWidth="1"/>
    <x:col min="5" max="5" width="11.25" hidden="0" customWidth="1"/>
    <x:col min="6" max="6" width="62.5" hidden="0" customWidth="1"/>
  </x:cols>
  <x:sheetData>
    <x:row r="1" ht="21" customHeight="1">
      <x:c r="A1" s="26" t="str">
        <x:v>Check</x:v>
      </x:c>
      <x:c r="B1" s="26" t="str">
        <x:v>Domain</x:v>
      </x:c>
      <x:c r="C1" s="26" t="str">
        <x:v>Status</x:v>
      </x:c>
      <x:c r="D1" s="26" t="str">
        <x:v>Records</x:v>
      </x:c>
      <x:c r="E1" s="26" t="str">
        <x:v>Blockers</x:v>
      </x:c>
      <x:c r="F1" s="26" t="str">
        <x:v>Notes</x:v>
      </x:c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20" t="str">
        <x:v>SDLC release trust</x:v>
      </x:c>
      <x:c r="B2" s="20" t="str">
        <x:v>release governance</x:v>
      </x:c>
      <x:c r="C2" s="20" t="str">
        <x:v>fail-closed blocker</x:v>
      </x:c>
      <x:c r="D2" s="29" t="n">
        <x:v>3</x:v>
      </x:c>
      <x:c r="E2" s="29" t="n">
        <x:v>3</x:v>
      </x:c>
      <x:c r="F2" s="20" t="str">
        <x:v>SEC-P0-004, PROD-REL-001, and SEC-REQ-007 remain release-trust blockers.</x:v>
      </x:c>
    </x:row>
    <x:row r="3">
      <x:c r="A3" s="20" t="str">
        <x:v>Closeout remoteHeads subcheck</x:v>
      </x:c>
      <x:c r="B3" s="20" t="str">
        <x:v>git</x:v>
      </x:c>
      <x:c r="C3" s="20" t="str">
        <x:v>subcheck failed</x:v>
      </x:c>
      <x:c r="D3" s="29" t="n">
        <x:v>0</x:v>
      </x:c>
      <x:c r="E3" s="29" t="n">
        <x:v>1</x:v>
      </x:c>
      <x:c r="F3" s="20" t="str">
        <x:v>Closeout subprocess and direct git ls-remote both failed in this build; preserve as remote reachability limitation.</x:v>
      </x:c>
    </x:row>
    <x:row r="4">
      <x:c r="A4" s="20" t="str">
        <x:v>Direct remote heads verification</x:v>
      </x:c>
      <x:c r="B4" s="20" t="str">
        <x:v>git</x:v>
      </x:c>
      <x:c r="C4" s="20" t="str">
        <x:v>failed</x:v>
      </x:c>
      <x:c r="D4" s="29" t="n">
        <x:v>0</x:v>
      </x:c>
      <x:c r="E4" s="29" t="n">
        <x:v>1</x:v>
      </x:c>
      <x:c r="F4" s="20" t="str">
        <x:v>fatal: unable to access 'https://github.com/JeremiahM18/japanese-kanji-anki-builder.git/': Failed to connect to github.com port 443 after 95 ms: Could not connect to server</x:v>
      </x:c>
    </x:row>
    <x:row r="5">
      <x:c r="A5" s="20" t="str">
        <x:v>Kanji review status</x:v>
      </x:c>
      <x:c r="B5" s="20" t="str">
        <x:v>kanji structure</x:v>
      </x:c>
      <x:c r="C5" s="20" t="str">
        <x:v>passed</x:v>
      </x:c>
      <x:c r="D5" s="29" t="n">
        <x:v>10</x:v>
      </x:c>
      <x:c r="E5" s="29" t="n">
        <x:v>0</x:v>
      </x:c>
      <x:c r="F5" s="20" t="str">
        <x:v>Suppressed duplicate claims: 398; unresolved duplicates: 0.</x:v>
      </x:c>
    </x:row>
    <x:row r="6">
      <x:c r="A6" s="20" t="str">
        <x:v>Obsidian proof ledger validate</x:v>
      </x:c>
      <x:c r="B6" s="20" t="str">
        <x:v>proof ledger</x:v>
      </x:c>
      <x:c r="C6" s="20" t="str">
        <x:v>passed</x:v>
      </x:c>
      <x:c r="D6" s="29" t="n">
        <x:v>1969</x:v>
      </x:c>
      <x:c r="E6" s="29" t="n">
        <x:v>0</x:v>
      </x:c>
      <x:c r="F6" s="20" t="str">
        <x:v>Canonical JSONL proof ledger validation; no proof writes performed.</x:v>
      </x:c>
    </x:row>
    <x:row r="7">
      <x:c r="A7" s="20" t="str">
        <x:v>Kanji proof reconcile N5-N2</x:v>
      </x:c>
      <x:c r="B7" s="20" t="str">
        <x:v>proof ledger</x:v>
      </x:c>
      <x:c r="C7" s="20" t="str">
        <x:v>passed</x:v>
      </x:c>
      <x:c r="D7" s="29" t="n">
        <x:v>982</x:v>
      </x:c>
      <x:c r="E7" s="29" t="n">
        <x:v>0</x:v>
      </x:c>
      <x:c r="F7" s="20" t="str">
        <x:v>Scoped to current completed kanji proof surfaces.</x:v>
      </x:c>
    </x:row>
    <x:row r="8">
      <x:c r="A8" s="20" t="str">
        <x:v>Word proof reconcile N5-N4</x:v>
      </x:c>
      <x:c r="B8" s="20" t="str">
        <x:v>proof ledger</x:v>
      </x:c>
      <x:c r="C8" s="20" t="str">
        <x:v>passed</x:v>
      </x:c>
      <x:c r="D8" s="29" t="n">
        <x:v>987</x:v>
      </x:c>
      <x:c r="E8" s="29" t="n">
        <x:v>0</x:v>
      </x:c>
      <x:c r="F8" s="20" t="str">
        <x:v>Source entries: 1086.</x:v>
      </x:c>
    </x:row>
    <x:row r="9">
      <x:c r="A9" s="20" t="str">
        <x:v>Kanji Obsidian certify status N5-N2</x:v>
      </x:c>
      <x:c r="B9" s="20" t="str">
        <x:v>certification status</x:v>
      </x:c>
      <x:c r="C9" s="20" t="str">
        <x:v>passed</x:v>
      </x:c>
      <x:c r="D9" s="29" t="n">
        <x:v>982</x:v>
      </x:c>
      <x:c r="E9" s="29" t="n">
        <x:v>0</x:v>
      </x:c>
      <x:c r="F9" s="20" t="str">
        <x:v>Status report only; this workbook does not certify cards.</x:v>
      </x:c>
    </x:row>
    <x:row r="10">
      <x:c r="A10" s="20" t="str">
        <x:v>Word Obsidian certify status N5-N4</x:v>
      </x:c>
      <x:c r="B10" s="20" t="str">
        <x:v>certification status</x:v>
      </x:c>
      <x:c r="C10" s="20" t="str">
        <x:v>passed</x:v>
      </x:c>
      <x:c r="D10" s="29" t="n">
        <x:v>987</x:v>
      </x:c>
      <x:c r="E10" s="29" t="n">
        <x:v>0</x:v>
      </x:c>
      <x:c r="F10" s="20" t="str">
        <x:v>Status report only; this workbook does not certify cards.</x:v>
      </x:c>
    </x:row>
    <x:row r="11">
      <x:c r="A11" s="20" t="str">
        <x:v>NLP governance gate</x:v>
      </x:c>
      <x:c r="B11" s="20" t="str">
        <x:v>NLP support</x:v>
      </x:c>
      <x:c r="C11" s="20" t="str">
        <x:v>passed</x:v>
      </x:c>
      <x:c r="D11" s="29" t="n">
        <x:v>8</x:v>
      </x:c>
      <x:c r="E11" s="29" t="n">
        <x:v>0</x:v>
      </x:c>
      <x:c r="F11" s="20" t="str">
        <x:v>Support-only: no certification, no tracked template writes, no release-readiness claim.</x:v>
      </x:c>
    </x:row>
    <x:row r="12">
      <x:c r="A12" s="20" t="str">
        <x:v>Performance memory matrix</x:v>
      </x:c>
      <x:c r="B12" s="20" t="str">
        <x:v>performance/memory</x:v>
      </x:c>
      <x:c r="C12" s="20" t="str">
        <x:v>passed</x:v>
      </x:c>
      <x:c r="D12" s="29" t="n">
        <x:v>7</x:v>
      </x:c>
      <x:c r="E12" s="29" t="n">
        <x:v>0</x:v>
      </x:c>
      <x:c r="F12" s="20" t="str">
        <x:v>Timing budgets present: 4; memory sampling present: 4.</x:v>
      </x:c>
    </x:row>
  </x:sheetData>
  <x:conditionalFormatting sqref="C2:C12">
    <x:cfRule type="containsText" dxfId="0" priority="1" operator="containsText" text="fail"/>
    <x:cfRule type="containsText" dxfId="1" priority="2" operator="containsText" text="passed"/>
  </x:conditionalFormatting>
  <x:pageMargins left="0.7" right="0.7" top="0.75" bottom="0.75" header="0.3" footer="0.3"/>
  <x:tableParts count="1">
    <x:tablePart xmlns:r="http://schemas.openxmlformats.org/officeDocument/2006/relationships" r:id="Rc518e99120854b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6.25" hidden="0" customWidth="1"/>
    <x:col min="3" max="3" width="17.5" hidden="0" customWidth="1"/>
    <x:col min="4" max="4" width="13.130000114440918" hidden="0" customWidth="1"/>
    <x:col min="5" max="5" width="15" hidden="0" customWidth="1"/>
    <x:col min="6" max="6" width="16.8799991607666" hidden="0" customWidth="1"/>
    <x:col min="7" max="7" width="10" hidden="0" customWidth="1"/>
    <x:col min="8" max="8" width="65" hidden="0" customWidth="1"/>
  </x:cols>
  <x:sheetData>
    <x:row r="1" ht="21" customHeight="1">
      <x:c r="A1" s="26" t="str">
        <x:v>Lane ID</x:v>
      </x:c>
      <x:c r="B1" s="26" t="str">
        <x:v>Product Area</x:v>
      </x:c>
      <x:c r="C1" s="26" t="str">
        <x:v>Benchmark Class</x:v>
      </x:c>
      <x:c r="D1" s="26" t="str">
        <x:v>CI Policy</x:v>
      </x:c>
      <x:c r="E1" s="26" t="str">
        <x:v>Timing Budget</x:v>
      </x:c>
      <x:c r="F1" s="26" t="str">
        <x:v>Memory Sampling</x:v>
      </x:c>
      <x:c r="G1" s="26" t="str">
        <x:v>Passed</x:v>
      </x:c>
      <x:c r="H1" s="26" t="str">
        <x:v>Release Boundary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20" t="str">
        <x:v>build-hot-cache</x:v>
      </x:c>
      <x:c r="B2" s="20" t="str">
        <x:v>kanji-build-and-package</x:v>
      </x:c>
      <x:c r="C2" s="20" t="str">
        <x:v>timing-budget</x:v>
      </x:c>
      <x:c r="D2" s="20" t="str">
        <x:v>manual-local</x:v>
      </x:c>
      <x:c r="E2" s="20" t="str">
        <x:v>present</x:v>
      </x:c>
      <x:c r="F2" s="20" t="str">
        <x:v>present</x:v>
      </x:c>
      <x:c r="G2" s="20" t="str">
        <x:v>yes</x:v>
      </x:c>
      <x:c r="H2" s="20" t="str">
        <x:v>Manual performance guardrail only; run release/product gates separately before readiness claims.</x:v>
      </x:c>
    </x:row>
    <x:row r="3">
      <x:c r="A3" s="20" t="str">
        <x:v>build-cold-native-apkg</x:v>
      </x:c>
      <x:c r="B3" s="20" t="str">
        <x:v>kanji-build-and-package</x:v>
      </x:c>
      <x:c r="C3" s="20" t="str">
        <x:v>timing-budget</x:v>
      </x:c>
      <x:c r="D3" s="20" t="str">
        <x:v>manual-local</x:v>
      </x:c>
      <x:c r="E3" s="20" t="str">
        <x:v>present</x:v>
      </x:c>
      <x:c r="F3" s="20" t="str">
        <x:v>present</x:v>
      </x:c>
      <x:c r="G3" s="20" t="str">
        <x:v>yes</x:v>
      </x:c>
      <x:c r="H3" s="20" t="str">
        <x:v>Manual cold native APKG package-performance guardrail only; hot build budgets still own total/export/media-sync timing, and APKG manual import QA remains separate.</x:v>
      </x:c>
    </x:row>
    <x:row r="4">
      <x:c r="A4" s="20" t="str">
        <x:v>obsidian-proof-etl</x:v>
      </x:c>
      <x:c r="B4" s="20" t="str">
        <x:v>obsidian-proof-ledger</x:v>
      </x:c>
      <x:c r="C4" s="20" t="str">
        <x:v>timing-budget</x:v>
      </x:c>
      <x:c r="D4" s="20" t="str">
        <x:v>manual-local</x:v>
      </x:c>
      <x:c r="E4" s="20" t="str">
        <x:v>present</x:v>
      </x:c>
      <x:c r="F4" s="20" t="str">
        <x:v>present</x:v>
      </x:c>
      <x:c r="G4" s="20" t="str">
        <x:v>yes</x:v>
      </x:c>
      <x:c r="H4" s="20" t="str">
        <x:v>Obsidian proof ETL benchmark only; does not certify card quality, NLP, source evidence, or release readiness.</x:v>
      </x:c>
    </x:row>
    <x:row r="5">
      <x:c r="A5" s="20" t="str">
        <x:v>jlpt-source-evidence-cost</x:v>
      </x:c>
      <x:c r="B5" s="20" t="str">
        <x:v>jlpt-kanji-source-governance</x:v>
      </x:c>
      <x:c r="C5" s="20" t="str">
        <x:v>timing-budget</x:v>
      </x:c>
      <x:c r="D5" s="20" t="str">
        <x:v>manual-local</x:v>
      </x:c>
      <x:c r="E5" s="20" t="str">
        <x:v>present</x:v>
      </x:c>
      <x:c r="F5" s="20" t="str">
        <x:v>present</x:v>
      </x:c>
      <x:c r="G5" s="20" t="str">
        <x:v>yes</x:v>
      </x:c>
      <x:c r="H5" s="20" t="str">
        <x:v>Source-governance performance diagnostic only; does not move JLPT placement or certify card fields.</x:v>
      </x:c>
    </x:row>
    <x:row r="6">
      <x:c r="A6" s="20" t="str">
        <x:v>export-service-fixture</x:v>
      </x:c>
      <x:c r="B6" s="20" t="str">
        <x:v>export-service</x:v>
      </x:c>
      <x:c r="C6" s="20" t="str">
        <x:v>diagnostic</x:v>
      </x:c>
      <x:c r="D6" s="20" t="str">
        <x:v>manual-local</x:v>
      </x:c>
      <x:c r="E6" s="20" t="str">
        <x:v>planned</x:v>
      </x:c>
      <x:c r="F6" s="20" t="str">
        <x:v>planned</x:v>
      </x:c>
      <x:c r="G6" s="20" t="str">
        <x:v>yes</x:v>
      </x:c>
      <x:c r="H6" s="20" t="str">
        <x:v>Diagnostic only; generated deck gates still own product validity.</x:v>
      </x:c>
    </x:row>
    <x:row r="7">
      <x:c r="A7" s="20" t="str">
        <x:v>ci-smoke-package-contract</x:v>
      </x:c>
      <x:c r="B7" s="20" t="str">
        <x:v>smoke-fixture-package</x:v>
      </x:c>
      <x:c r="C7" s="20" t="str">
        <x:v>package-contract</x:v>
      </x:c>
      <x:c r="D7" s="20" t="str">
        <x:v>smoke-ci</x:v>
      </x:c>
      <x:c r="E7" s="20" t="str">
        <x:v>not-applicable</x:v>
      </x:c>
      <x:c r="F7" s="20" t="str">
        <x:v>planned</x:v>
      </x:c>
      <x:c r="G7" s="20" t="str">
        <x:v>yes</x:v>
      </x:c>
      <x:c r="H7" s="20" t="str">
        <x:v>Smoke fixture validation only; not public product deck readiness.</x:v>
      </x:c>
    </x:row>
    <x:row r="8">
      <x:c r="A8" s="20" t="str">
        <x:v>release-gate-package-contract</x:v>
      </x:c>
      <x:c r="B8" s="20" t="str">
        <x:v>release-smoke-package</x:v>
      </x:c>
      <x:c r="C8" s="20" t="str">
        <x:v>package-contract</x:v>
      </x:c>
      <x:c r="D8" s="20" t="str">
        <x:v>release-ci</x:v>
      </x:c>
      <x:c r="E8" s="20" t="str">
        <x:v>not-applicable</x:v>
      </x:c>
      <x:c r="F8" s="20" t="str">
        <x:v>planned</x:v>
      </x:c>
      <x:c r="G8" s="20" t="str">
        <x:v>yes</x:v>
      </x:c>
      <x:c r="H8" s="20" t="str">
        <x:v>Release smoke only; level-specific readiness, media QA, and manual APKG review remain separate.</x:v>
      </x:c>
    </x:row>
  </x:sheetData>
  <x:pageMargins left="0.7" right="0.7" top="0.75" bottom="0.75" header="0.3" footer="0.3"/>
  <x:tableParts count="1">
    <x:tablePart xmlns:r="http://schemas.openxmlformats.org/officeDocument/2006/relationships" r:id="R93d10042522d4e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25" hidden="0" customWidth="1"/>
    <x:col min="3" max="3" width="8.75" hidden="0" customWidth="1"/>
    <x:col min="4" max="4" width="11.25" hidden="0" customWidth="1"/>
    <x:col min="5" max="5" width="26.25" hidden="0" customWidth="1"/>
    <x:col min="6" max="6" width="10.630000114440918" hidden="0" customWidth="1"/>
    <x:col min="7" max="7" width="10.630000114440918" hidden="0" customWidth="1"/>
    <x:col min="8" max="8" width="35" hidden="0" customWidth="1"/>
  </x:cols>
  <x:sheetData>
    <x:row r="1" ht="21" customHeight="1">
      <x:c r="A1" s="26" t="str">
        <x:v>Surface</x:v>
      </x:c>
      <x:c r="B1" s="26" t="str">
        <x:v>Deck Kind</x:v>
      </x:c>
      <x:c r="C1" s="26" t="str">
        <x:v>Level</x:v>
      </x:c>
      <x:c r="D1" s="26" t="str">
        <x:v>Lane</x:v>
      </x:c>
      <x:c r="E1" s="26" t="str">
        <x:v>Classification</x:v>
      </x:c>
      <x:c r="F1" s="26" t="str">
        <x:v>Missing</x:v>
      </x:c>
      <x:c r="G1" s="26" t="str">
        <x:v>Ratio</x:v>
      </x:c>
      <x:c r="H1" s="26" t="str">
        <x:v>Command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20" t="str">
        <x:v>N5 Kanji</x:v>
      </x:c>
      <x:c r="B2" s="20" t="str">
        <x:v>kanji</x:v>
      </x:c>
      <x:c r="C2" s="20" t="str">
        <x:v>N5</x:v>
      </x:c>
      <x:c r="D2" s="20" t="str">
        <x:v>Gold</x:v>
      </x:c>
      <x:c r="E2" s="20" t="str">
        <x:v>count-complete-run-gate-to-confirm</x:v>
      </x:c>
      <x:c r="F2" s="29" t="n">
        <x:v>0</x:v>
      </x:c>
      <x:c r="G2" s="20" t="str">
        <x:v>80/80</x:v>
      </x:c>
      <x:c r="H2" s="20" t="str">
        <x:v>npm run deck:review:n5</x:v>
      </x:c>
    </x:row>
    <x:row r="3">
      <x:c r="A3" s="20" t="str">
        <x:v>N5 Kanji</x:v>
      </x:c>
      <x:c r="B3" s="20" t="str">
        <x:v>kanji</x:v>
      </x:c>
      <x:c r="C3" s="20" t="str">
        <x:v>N5</x:v>
      </x:c>
      <x:c r="D3" s="20" t="str">
        <x:v>Sapphire</x:v>
      </x:c>
      <x:c r="E3" s="20" t="str">
        <x:v>count-complete-run-gate-to-confirm</x:v>
      </x:c>
      <x:c r="F3" s="29" t="n">
        <x:v>0</x:v>
      </x:c>
      <x:c r="G3" s="20" t="str">
        <x:v>80/80</x:v>
      </x:c>
      <x:c r="H3" s="20" t="str">
        <x:v>npm run deck:sapphire:n5</x:v>
      </x:c>
    </x:row>
    <x:row r="4">
      <x:c r="A4" s="20" t="str">
        <x:v>N5 Kanji</x:v>
      </x:c>
      <x:c r="B4" s="20" t="str">
        <x:v>kanji</x:v>
      </x:c>
      <x:c r="C4" s="20" t="str">
        <x:v>N5</x:v>
      </x:c>
      <x:c r="D4" s="20" t="str">
        <x:v>Platinum</x:v>
      </x:c>
      <x:c r="E4" s="20" t="str">
        <x:v>count-complete-run-gate-to-confirm</x:v>
      </x:c>
      <x:c r="F4" s="29" t="n">
        <x:v>0</x:v>
      </x:c>
      <x:c r="G4" s="20" t="str">
        <x:v>80/80</x:v>
      </x:c>
      <x:c r="H4" s="20" t="str">
        <x:v>npm run deck:platinum:n5</x:v>
      </x:c>
    </x:row>
    <x:row r="5">
      <x:c r="A5" s="20" t="str">
        <x:v>N5 Word</x:v>
      </x:c>
      <x:c r="B5" s="20" t="str">
        <x:v>word</x:v>
      </x:c>
      <x:c r="C5" s="20" t="str">
        <x:v>N5</x:v>
      </x:c>
      <x:c r="D5" s="20" t="str">
        <x:v>Gold</x:v>
      </x:c>
      <x:c r="E5" s="20" t="str">
        <x:v>count-complete-run-gate-to-confirm</x:v>
      </x:c>
      <x:c r="F5" s="29" t="n">
        <x:v>0</x:v>
      </x:c>
      <x:c r="G5" s="20" t="str">
        <x:v>287/287</x:v>
      </x:c>
      <x:c r="H5" s="20" t="str">
        <x:v>npm run deck:words:review:n5</x:v>
      </x:c>
    </x:row>
    <x:row r="6">
      <x:c r="A6" s="20" t="str">
        <x:v>N5 Word</x:v>
      </x:c>
      <x:c r="B6" s="20" t="str">
        <x:v>word</x:v>
      </x:c>
      <x:c r="C6" s="20" t="str">
        <x:v>N5</x:v>
      </x:c>
      <x:c r="D6" s="20" t="str">
        <x:v>Sapphire</x:v>
      </x:c>
      <x:c r="E6" s="20" t="str">
        <x:v>count-complete-run-gate-to-confirm</x:v>
      </x:c>
      <x:c r="F6" s="29" t="n">
        <x:v>0</x:v>
      </x:c>
      <x:c r="G6" s="20" t="str">
        <x:v>287/287</x:v>
      </x:c>
      <x:c r="H6" s="20" t="str">
        <x:v>npm run deck:words:sapphire:n5</x:v>
      </x:c>
    </x:row>
    <x:row r="7">
      <x:c r="A7" s="20" t="str">
        <x:v>N5 Word</x:v>
      </x:c>
      <x:c r="B7" s="20" t="str">
        <x:v>word</x:v>
      </x:c>
      <x:c r="C7" s="20" t="str">
        <x:v>N5</x:v>
      </x:c>
      <x:c r="D7" s="20" t="str">
        <x:v>Platinum</x:v>
      </x:c>
      <x:c r="E7" s="20" t="str">
        <x:v>count-complete-run-gate-to-confirm</x:v>
      </x:c>
      <x:c r="F7" s="29" t="n">
        <x:v>0</x:v>
      </x:c>
      <x:c r="G7" s="20" t="str">
        <x:v>287/287</x:v>
      </x:c>
      <x:c r="H7" s="20" t="str">
        <x:v>npm run deck:words:platinum:n5</x:v>
      </x:c>
    </x:row>
    <x:row r="8">
      <x:c r="A8" s="20" t="str">
        <x:v>N4 Kanji</x:v>
      </x:c>
      <x:c r="B8" s="20" t="str">
        <x:v>kanji</x:v>
      </x:c>
      <x:c r="C8" s="20" t="str">
        <x:v>N4</x:v>
      </x:c>
      <x:c r="D8" s="20" t="str">
        <x:v>Gold</x:v>
      </x:c>
      <x:c r="E8" s="20" t="str">
        <x:v>count-complete-run-gate-to-confirm</x:v>
      </x:c>
      <x:c r="F8" s="29" t="n">
        <x:v>0</x:v>
      </x:c>
      <x:c r="G8" s="20" t="str">
        <x:v>212/212</x:v>
      </x:c>
      <x:c r="H8" s="20" t="str">
        <x:v>npm run deck:review:n4</x:v>
      </x:c>
    </x:row>
    <x:row r="9">
      <x:c r="A9" s="20" t="str">
        <x:v>N4 Kanji</x:v>
      </x:c>
      <x:c r="B9" s="20" t="str">
        <x:v>kanji</x:v>
      </x:c>
      <x:c r="C9" s="20" t="str">
        <x:v>N4</x:v>
      </x:c>
      <x:c r="D9" s="20" t="str">
        <x:v>Sapphire</x:v>
      </x:c>
      <x:c r="E9" s="20" t="str">
        <x:v>count-complete-run-gate-to-confirm</x:v>
      </x:c>
      <x:c r="F9" s="29" t="n">
        <x:v>0</x:v>
      </x:c>
      <x:c r="G9" s="20" t="str">
        <x:v>212/212</x:v>
      </x:c>
      <x:c r="H9" s="20" t="str">
        <x:v>npm run deck:sapphire:n4</x:v>
      </x:c>
    </x:row>
    <x:row r="10">
      <x:c r="A10" s="20" t="str">
        <x:v>N4 Kanji</x:v>
      </x:c>
      <x:c r="B10" s="20" t="str">
        <x:v>kanji</x:v>
      </x:c>
      <x:c r="C10" s="20" t="str">
        <x:v>N4</x:v>
      </x:c>
      <x:c r="D10" s="20" t="str">
        <x:v>Platinum</x:v>
      </x:c>
      <x:c r="E10" s="20" t="str">
        <x:v>count-complete-run-gate-to-confirm</x:v>
      </x:c>
      <x:c r="F10" s="29" t="n">
        <x:v>0</x:v>
      </x:c>
      <x:c r="G10" s="20" t="str">
        <x:v>212/212</x:v>
      </x:c>
      <x:c r="H10" s="20" t="str">
        <x:v>npm run deck:platinum:n4</x:v>
      </x:c>
    </x:row>
    <x:row r="11">
      <x:c r="A11" s="20" t="str">
        <x:v>N4 Word</x:v>
      </x:c>
      <x:c r="B11" s="20" t="str">
        <x:v>word</x:v>
      </x:c>
      <x:c r="C11" s="20" t="str">
        <x:v>N4</x:v>
      </x:c>
      <x:c r="D11" s="20" t="str">
        <x:v>Gold</x:v>
      </x:c>
      <x:c r="E11" s="20" t="str">
        <x:v>count-complete-run-gate-to-confirm</x:v>
      </x:c>
      <x:c r="F11" s="29" t="n">
        <x:v>0</x:v>
      </x:c>
      <x:c r="G11" s="20" t="str">
        <x:v>700/700</x:v>
      </x:c>
      <x:c r="H11" s="20" t="str">
        <x:v>npm run deck:words:review:n4</x:v>
      </x:c>
    </x:row>
    <x:row r="12">
      <x:c r="A12" s="20" t="str">
        <x:v>N4 Word</x:v>
      </x:c>
      <x:c r="B12" s="20" t="str">
        <x:v>word</x:v>
      </x:c>
      <x:c r="C12" s="20" t="str">
        <x:v>N4</x:v>
      </x:c>
      <x:c r="D12" s="20" t="str">
        <x:v>Sapphire</x:v>
      </x:c>
      <x:c r="E12" s="20" t="str">
        <x:v>count-complete-run-gate-to-confirm</x:v>
      </x:c>
      <x:c r="F12" s="29" t="n">
        <x:v>0</x:v>
      </x:c>
      <x:c r="G12" s="20" t="str">
        <x:v>700/700</x:v>
      </x:c>
      <x:c r="H12" s="20" t="str">
        <x:v>npm run deck:words:sapphire:n4</x:v>
      </x:c>
    </x:row>
    <x:row r="13">
      <x:c r="A13" s="20" t="str">
        <x:v>N4 Word</x:v>
      </x:c>
      <x:c r="B13" s="20" t="str">
        <x:v>word</x:v>
      </x:c>
      <x:c r="C13" s="20" t="str">
        <x:v>N4</x:v>
      </x:c>
      <x:c r="D13" s="20" t="str">
        <x:v>Platinum</x:v>
      </x:c>
      <x:c r="E13" s="20" t="str">
        <x:v>count-complete-run-gate-to-confirm</x:v>
      </x:c>
      <x:c r="F13" s="29" t="n">
        <x:v>0</x:v>
      </x:c>
      <x:c r="G13" s="20" t="str">
        <x:v>700/700</x:v>
      </x:c>
      <x:c r="H13" s="20" t="str">
        <x:v>npm run deck:words:platinum:n4</x:v>
      </x:c>
    </x:row>
    <x:row r="14">
      <x:c r="A14" s="20" t="str">
        <x:v>N3 Kanji</x:v>
      </x:c>
      <x:c r="B14" s="20" t="str">
        <x:v>kanji</x:v>
      </x:c>
      <x:c r="C14" s="20" t="str">
        <x:v>N3</x:v>
      </x:c>
      <x:c r="D14" s="20" t="str">
        <x:v>Gold</x:v>
      </x:c>
      <x:c r="E14" s="20" t="str">
        <x:v>count-complete-run-gate-to-confirm</x:v>
      </x:c>
      <x:c r="F14" s="29" t="n">
        <x:v>0</x:v>
      </x:c>
      <x:c r="G14" s="20" t="str">
        <x:v>341/341</x:v>
      </x:c>
      <x:c r="H14" s="20" t="str">
        <x:v>npm run deck:review:n3</x:v>
      </x:c>
    </x:row>
    <x:row r="15">
      <x:c r="A15" s="20" t="str">
        <x:v>N3 Kanji</x:v>
      </x:c>
      <x:c r="B15" s="20" t="str">
        <x:v>kanji</x:v>
      </x:c>
      <x:c r="C15" s="20" t="str">
        <x:v>N3</x:v>
      </x:c>
      <x:c r="D15" s="20" t="str">
        <x:v>Sapphire</x:v>
      </x:c>
      <x:c r="E15" s="20" t="str">
        <x:v>count-complete-run-gate-to-confirm</x:v>
      </x:c>
      <x:c r="F15" s="29" t="n">
        <x:v>0</x:v>
      </x:c>
      <x:c r="G15" s="20" t="str">
        <x:v>341/341</x:v>
      </x:c>
      <x:c r="H15" s="20" t="str">
        <x:v>npm run deck:sapphire:n3</x:v>
      </x:c>
    </x:row>
    <x:row r="16">
      <x:c r="A16" s="20" t="str">
        <x:v>N3 Kanji</x:v>
      </x:c>
      <x:c r="B16" s="20" t="str">
        <x:v>kanji</x:v>
      </x:c>
      <x:c r="C16" s="20" t="str">
        <x:v>N3</x:v>
      </x:c>
      <x:c r="D16" s="20" t="str">
        <x:v>Platinum</x:v>
      </x:c>
      <x:c r="E16" s="20" t="str">
        <x:v>count-complete-run-gate-to-confirm</x:v>
      </x:c>
      <x:c r="F16" s="29" t="n">
        <x:v>0</x:v>
      </x:c>
      <x:c r="G16" s="20" t="str">
        <x:v>341/341</x:v>
      </x:c>
      <x:c r="H16" s="20" t="str">
        <x:v>npm run deck:platinum:n3</x:v>
      </x:c>
    </x:row>
    <x:row r="17">
      <x:c r="A17" s="20" t="str">
        <x:v>N3 Word</x:v>
      </x:c>
      <x:c r="B17" s="20" t="str">
        <x:v>word</x:v>
      </x:c>
      <x:c r="C17" s="20" t="str">
        <x:v>N3</x:v>
      </x:c>
      <x:c r="D17" s="20" t="str">
        <x:v>Gold</x:v>
      </x:c>
      <x:c r="E17" s="20" t="str">
        <x:v>expected-fail-coverage</x:v>
      </x:c>
      <x:c r="F17" s="29" t="n">
        <x:v>421</x:v>
      </x:c>
      <x:c r="G17" s="20" t="str">
        <x:v>8/429</x:v>
      </x:c>
      <x:c r="H17" s="20" t="str">
        <x:v>npm run deck:words:review:n3</x:v>
      </x:c>
    </x:row>
    <x:row r="18">
      <x:c r="A18" s="20" t="str">
        <x:v>N3 Word</x:v>
      </x:c>
      <x:c r="B18" s="20" t="str">
        <x:v>word</x:v>
      </x:c>
      <x:c r="C18" s="20" t="str">
        <x:v>N3</x:v>
      </x:c>
      <x:c r="D18" s="20" t="str">
        <x:v>Sapphire</x:v>
      </x:c>
      <x:c r="E18" s="20" t="str">
        <x:v>expected-fail-coverage</x:v>
      </x:c>
      <x:c r="F18" s="29" t="n">
        <x:v>421</x:v>
      </x:c>
      <x:c r="G18" s="20" t="str">
        <x:v>8/429</x:v>
      </x:c>
      <x:c r="H18" s="20" t="str">
        <x:v>npm run deck:words:sapphire:n3</x:v>
      </x:c>
    </x:row>
    <x:row r="19">
      <x:c r="A19" s="20" t="str">
        <x:v>N3 Word</x:v>
      </x:c>
      <x:c r="B19" s="20" t="str">
        <x:v>word</x:v>
      </x:c>
      <x:c r="C19" s="20" t="str">
        <x:v>N3</x:v>
      </x:c>
      <x:c r="D19" s="20" t="str">
        <x:v>Platinum</x:v>
      </x:c>
      <x:c r="E19" s="20" t="str">
        <x:v>expected-fail-coverage</x:v>
      </x:c>
      <x:c r="F19" s="29" t="n">
        <x:v>421</x:v>
      </x:c>
      <x:c r="G19" s="20" t="str">
        <x:v>8/429</x:v>
      </x:c>
      <x:c r="H19" s="20" t="str">
        <x:v>npm run deck:words:platinum:n3</x:v>
      </x:c>
    </x:row>
    <x:row r="20">
      <x:c r="A20" s="20" t="str">
        <x:v>N2 Kanji</x:v>
      </x:c>
      <x:c r="B20" s="20" t="str">
        <x:v>kanji</x:v>
      </x:c>
      <x:c r="C20" s="20" t="str">
        <x:v>N2</x:v>
      </x:c>
      <x:c r="D20" s="20" t="str">
        <x:v>Gold</x:v>
      </x:c>
      <x:c r="E20" s="20" t="str">
        <x:v>count-complete-run-gate-to-confirm</x:v>
      </x:c>
      <x:c r="F20" s="29" t="n">
        <x:v>0</x:v>
      </x:c>
      <x:c r="G20" s="20" t="str">
        <x:v>349/349</x:v>
      </x:c>
      <x:c r="H20" s="20" t="str">
        <x:v>npm run deck:review:n2</x:v>
      </x:c>
    </x:row>
    <x:row r="21">
      <x:c r="A21" s="20" t="str">
        <x:v>N2 Kanji</x:v>
      </x:c>
      <x:c r="B21" s="20" t="str">
        <x:v>kanji</x:v>
      </x:c>
      <x:c r="C21" s="20" t="str">
        <x:v>N2</x:v>
      </x:c>
      <x:c r="D21" s="20" t="str">
        <x:v>Sapphire</x:v>
      </x:c>
      <x:c r="E21" s="20" t="str">
        <x:v>count-complete-run-gate-to-confirm</x:v>
      </x:c>
      <x:c r="F21" s="29" t="n">
        <x:v>0</x:v>
      </x:c>
      <x:c r="G21" s="20" t="str">
        <x:v>349/349</x:v>
      </x:c>
      <x:c r="H21" s="20" t="str">
        <x:v>npm run deck:sapphire:n2</x:v>
      </x:c>
    </x:row>
    <x:row r="22">
      <x:c r="A22" s="20" t="str">
        <x:v>N2 Kanji</x:v>
      </x:c>
      <x:c r="B22" s="20" t="str">
        <x:v>kanji</x:v>
      </x:c>
      <x:c r="C22" s="20" t="str">
        <x:v>N2</x:v>
      </x:c>
      <x:c r="D22" s="20" t="str">
        <x:v>Platinum</x:v>
      </x:c>
      <x:c r="E22" s="20" t="str">
        <x:v>count-complete-run-gate-to-confirm</x:v>
      </x:c>
      <x:c r="F22" s="29" t="n">
        <x:v>0</x:v>
      </x:c>
      <x:c r="G22" s="20" t="str">
        <x:v>349/349</x:v>
      </x:c>
      <x:c r="H22" s="20" t="str">
        <x:v>npm run deck:platinum:n2</x:v>
      </x:c>
    </x:row>
    <x:row r="23">
      <x:c r="A23" s="20" t="str">
        <x:v>N2 Word</x:v>
      </x:c>
      <x:c r="B23" s="20" t="str">
        <x:v>word</x:v>
      </x:c>
      <x:c r="C23" s="20" t="str">
        <x:v>N2</x:v>
      </x:c>
      <x:c r="D23" s="20" t="str">
        <x:v>Gold</x:v>
      </x:c>
      <x:c r="E23" s="20" t="str">
        <x:v>expected-fail-coverage</x:v>
      </x:c>
      <x:c r="F23" s="29" t="n">
        <x:v>28</x:v>
      </x:c>
      <x:c r="G23" s="20" t="str">
        <x:v>0/28</x:v>
      </x:c>
      <x:c r="H23" s="20" t="str">
        <x:v>npm run deck:words:review:n2</x:v>
      </x:c>
    </x:row>
    <x:row r="24">
      <x:c r="A24" s="20" t="str">
        <x:v>N2 Word</x:v>
      </x:c>
      <x:c r="B24" s="20" t="str">
        <x:v>word</x:v>
      </x:c>
      <x:c r="C24" s="20" t="str">
        <x:v>N2</x:v>
      </x:c>
      <x:c r="D24" s="20" t="str">
        <x:v>Sapphire</x:v>
      </x:c>
      <x:c r="E24" s="20" t="str">
        <x:v>expected-fail-coverage</x:v>
      </x:c>
      <x:c r="F24" s="29" t="n">
        <x:v>28</x:v>
      </x:c>
      <x:c r="G24" s="20" t="str">
        <x:v>0/28</x:v>
      </x:c>
      <x:c r="H24" s="20" t="str">
        <x:v>npm run deck:words:sapphire:n2</x:v>
      </x:c>
    </x:row>
    <x:row r="25">
      <x:c r="A25" s="20" t="str">
        <x:v>N2 Word</x:v>
      </x:c>
      <x:c r="B25" s="20" t="str">
        <x:v>word</x:v>
      </x:c>
      <x:c r="C25" s="20" t="str">
        <x:v>N2</x:v>
      </x:c>
      <x:c r="D25" s="20" t="str">
        <x:v>Platinum</x:v>
      </x:c>
      <x:c r="E25" s="20" t="str">
        <x:v>expected-fail-coverage</x:v>
      </x:c>
      <x:c r="F25" s="29" t="n">
        <x:v>28</x:v>
      </x:c>
      <x:c r="G25" s="20" t="str">
        <x:v>0/28</x:v>
      </x:c>
      <x:c r="H25" s="20" t="str">
        <x:v>npm run deck:words:platinum:n2</x:v>
      </x:c>
    </x:row>
    <x:row r="26">
      <x:c r="A26" s="20" t="str">
        <x:v>N1 Kanji</x:v>
      </x:c>
      <x:c r="B26" s="20" t="str">
        <x:v>kanji</x:v>
      </x:c>
      <x:c r="C26" s="20" t="str">
        <x:v>N1</x:v>
      </x:c>
      <x:c r="D26" s="20" t="str">
        <x:v>Gold</x:v>
      </x:c>
      <x:c r="E26" s="20" t="str">
        <x:v>count-complete-run-gate-to-confirm</x:v>
      </x:c>
      <x:c r="F26" s="29" t="n">
        <x:v>0</x:v>
      </x:c>
      <x:c r="G26" s="20" t="str">
        <x:v>1230/1230</x:v>
      </x:c>
      <x:c r="H26" s="20" t="str">
        <x:v>npm run deck:review:n1</x:v>
      </x:c>
    </x:row>
    <x:row r="27">
      <x:c r="A27" s="20" t="str">
        <x:v>N1 Kanji</x:v>
      </x:c>
      <x:c r="B27" s="20" t="str">
        <x:v>kanji</x:v>
      </x:c>
      <x:c r="C27" s="20" t="str">
        <x:v>N1</x:v>
      </x:c>
      <x:c r="D27" s="20" t="str">
        <x:v>Sapphire</x:v>
      </x:c>
      <x:c r="E27" s="20" t="str">
        <x:v>expected-fail-coverage</x:v>
      </x:c>
      <x:c r="F27" s="29" t="n">
        <x:v>902</x:v>
      </x:c>
      <x:c r="G27" s="20" t="str">
        <x:v>328/1230</x:v>
      </x:c>
      <x:c r="H27" s="20" t="str">
        <x:v>npm run deck:sapphire:n1</x:v>
      </x:c>
    </x:row>
    <x:row r="28">
      <x:c r="A28" s="20" t="str">
        <x:v>N1 Kanji</x:v>
      </x:c>
      <x:c r="B28" s="20" t="str">
        <x:v>kanji</x:v>
      </x:c>
      <x:c r="C28" s="20" t="str">
        <x:v>N1</x:v>
      </x:c>
      <x:c r="D28" s="20" t="str">
        <x:v>Platinum</x:v>
      </x:c>
      <x:c r="E28" s="20" t="str">
        <x:v>expected-fail-coverage</x:v>
      </x:c>
      <x:c r="F28" s="29" t="n">
        <x:v>902</x:v>
      </x:c>
      <x:c r="G28" s="20" t="str">
        <x:v>328/1230</x:v>
      </x:c>
      <x:c r="H28" s="20" t="str">
        <x:v>npm run deck:platinum:n1</x:v>
      </x:c>
    </x:row>
    <x:row r="29">
      <x:c r="A29" s="20" t="str">
        <x:v>N1 Word</x:v>
      </x:c>
      <x:c r="B29" s="20" t="str">
        <x:v>word</x:v>
      </x:c>
      <x:c r="C29" s="20" t="str">
        <x:v>N1</x:v>
      </x:c>
      <x:c r="D29" s="20" t="str">
        <x:v>Gold</x:v>
      </x:c>
      <x:c r="E29" s="20" t="str">
        <x:v>expected-fail-coverage</x:v>
      </x:c>
      <x:c r="F29" s="29" t="n">
        <x:v>26</x:v>
      </x:c>
      <x:c r="G29" s="20" t="str">
        <x:v>0/26</x:v>
      </x:c>
      <x:c r="H29" s="20" t="str">
        <x:v>npm run deck:words:review:n1</x:v>
      </x:c>
    </x:row>
    <x:row r="30">
      <x:c r="A30" s="20" t="str">
        <x:v>N1 Word</x:v>
      </x:c>
      <x:c r="B30" s="20" t="str">
        <x:v>word</x:v>
      </x:c>
      <x:c r="C30" s="20" t="str">
        <x:v>N1</x:v>
      </x:c>
      <x:c r="D30" s="20" t="str">
        <x:v>Sapphire</x:v>
      </x:c>
      <x:c r="E30" s="20" t="str">
        <x:v>expected-fail-coverage</x:v>
      </x:c>
      <x:c r="F30" s="29" t="n">
        <x:v>26</x:v>
      </x:c>
      <x:c r="G30" s="20" t="str">
        <x:v>0/26</x:v>
      </x:c>
      <x:c r="H30" s="20" t="str">
        <x:v>npm run deck:words:sapphire:n1</x:v>
      </x:c>
    </x:row>
    <x:row r="31">
      <x:c r="A31" s="20" t="str">
        <x:v>N1 Word</x:v>
      </x:c>
      <x:c r="B31" s="20" t="str">
        <x:v>word</x:v>
      </x:c>
      <x:c r="C31" s="20" t="str">
        <x:v>N1</x:v>
      </x:c>
      <x:c r="D31" s="20" t="str">
        <x:v>Platinum</x:v>
      </x:c>
      <x:c r="E31" s="20" t="str">
        <x:v>expected-fail-coverage</x:v>
      </x:c>
      <x:c r="F31" s="29" t="n">
        <x:v>26</x:v>
      </x:c>
      <x:c r="G31" s="20" t="str">
        <x:v>0/26</x:v>
      </x:c>
      <x:c r="H31" s="20" t="str">
        <x:v>npm run deck:words:platinum:n1</x:v>
      </x:c>
    </x:row>
  </x:sheetData>
  <x:conditionalFormatting sqref="E2:E31">
    <x:cfRule type="containsText" dxfId="2" priority="1" operator="containsText" text="expected-fail-coverage"/>
  </x:conditionalFormatting>
  <x:pageMargins left="0.7" right="0.7" top="0.75" bottom="0.75" header="0.3" footer="0.3"/>
  <x:tableParts count="1">
    <x:tablePart xmlns:r="http://schemas.openxmlformats.org/officeDocument/2006/relationships" r:id="R1af992df029b45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" hidden="0" customWidth="1"/>
    <x:col min="3" max="3" width="3.75" hidden="0" customWidth="1"/>
    <x:col min="4" max="4" width="18.7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3.75" hidden="0" customWidth="1"/>
    <x:col min="10" max="10" width="10" hidden="0" customWidth="1"/>
    <x:col min="11" max="11" width="16.25" hidden="0" customWidth="1"/>
  </x:cols>
  <x:sheetData>
    <x:row r="1" ht="28.5" customHeight="1">
      <x:c r="A1" s="5" t="str">
        <x:v>Chart Data</x:v>
      </x:c>
      <x:c r="B1" s="5" t="str">
        <x:v>Chart Data</x:v>
      </x:c>
      <x:c r="C1" s="5" t="str">
        <x:v>Chart Data</x:v>
      </x:c>
      <x:c r="D1" s="5" t="str">
        <x:v>Chart Data</x:v>
      </x:c>
      <x:c r="E1" s="5" t="str">
        <x:v>Chart Data</x:v>
      </x:c>
      <x:c r="F1" s="5" t="str">
        <x:v>Chart Data</x:v>
      </x:c>
      <x:c r="G1" s="5" t="str">
        <x:v>Chart Data</x:v>
      </x:c>
      <x:c r="H1" s="5" t="str">
        <x:v>Chart Data</x:v>
      </x:c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22.5" customHeight="1">
      <x:c r="A2" s="9" t="str">
        <x:v>Formula-backed helper ranges for the Dashboard charts. Source detail remains in the workbook tables.</x:v>
      </x:c>
      <x:c r="B2" s="9" t="str">
        <x:v>Formula-backed helper ranges for the Dashboard charts. Source detail remains in the workbook tables.</x:v>
      </x:c>
      <x:c r="C2" s="9" t="str">
        <x:v>Formula-backed helper ranges for the Dashboard charts. Source detail remains in the workbook tables.</x:v>
      </x:c>
      <x:c r="D2" s="9" t="str">
        <x:v>Formula-backed helper ranges for the Dashboard charts. Source detail remains in the workbook tables.</x:v>
      </x:c>
      <x:c r="E2" s="9" t="str">
        <x:v>Formula-backed helper ranges for the Dashboard charts. Source detail remains in the workbook tables.</x:v>
      </x:c>
      <x:c r="F2" s="9" t="str">
        <x:v>Formula-backed helper ranges for the Dashboard charts. Source detail remains in the workbook tables.</x:v>
      </x:c>
      <x:c r="G2" s="9" t="str">
        <x:v>Formula-backed helper ranges for the Dashboard charts. Source detail remains in the workbook tables.</x:v>
      </x:c>
      <x:c r="H2" s="9" t="str">
        <x:v>Formula-backed helper ranges for the Dashboard charts. Source detail remains in the workbook tables.</x:v>
      </x:c>
    </x:row>
    <x:row r="4" ht="21" customHeight="1">
      <x:c r="A4" s="15" t="str">
        <x:v>Surface</x:v>
      </x:c>
      <x:c r="B4" s="15" t="str">
        <x:v>Forward Backlog</x:v>
      </x:c>
      <x:c r="D4" s="26" t="str">
        <x:v>Surface</x:v>
      </x:c>
      <x:c r="E4" s="26" t="str">
        <x:v>Silver</x:v>
      </x:c>
      <x:c r="F4" s="26" t="str">
        <x:v>Gold</x:v>
      </x:c>
      <x:c r="G4" s="26" t="str">
        <x:v>Sapphire</x:v>
      </x:c>
      <x:c r="H4" s="26" t="str">
        <x:v>Platinum</x:v>
      </x:c>
      <x:c r="J4" s="35" t="str">
        <x:v>Level</x:v>
      </x:c>
      <x:c r="K4" s="35" t="str">
        <x:v>Reading Coverage</x:v>
      </x:c>
    </x:row>
    <x:row r="5">
      <x:c r="A5" s="20" t="str">
        <x:f>'Product Surfaces'!A2</x:f>
        <x:v>N5 Kanji</x:v>
      </x:c>
      <x:c r="B5" s="29" t="n">
        <x:f>'Product Surfaces'!I2</x:f>
        <x:v>0</x:v>
      </x:c>
      <x:c r="D5" s="20" t="str">
        <x:f>'Product Surfaces'!A2</x:f>
        <x:v>N5 Kanji</x:v>
      </x:c>
      <x:c r="E5" s="28" t="n">
        <x:f>'Product Surfaces'!E2/'Product Surfaces'!D2</x:f>
        <x:v>1</x:v>
      </x:c>
      <x:c r="F5" s="28" t="n">
        <x:f>'Product Surfaces'!F2/'Product Surfaces'!D2</x:f>
        <x:v>1</x:v>
      </x:c>
      <x:c r="G5" s="28" t="n">
        <x:f>'Product Surfaces'!G2/'Product Surfaces'!D2</x:f>
        <x:v>1</x:v>
      </x:c>
      <x:c r="H5" s="28" t="n">
        <x:f>'Product Surfaces'!H2/'Product Surfaces'!D2</x:f>
        <x:v>1</x:v>
      </x:c>
      <x:c r="J5" s="20" t="str">
        <x:f>'Word Reading'!A2</x:f>
        <x:v>N5</x:v>
      </x:c>
      <x:c r="K5" s="28" t="n">
        <x:f>'Word Reading'!G2</x:f>
        <x:v>0.6773255813953488</x:v>
      </x:c>
    </x:row>
    <x:row r="6">
      <x:c r="A6" s="20" t="str">
        <x:f>'Product Surfaces'!A3</x:f>
        <x:v>N5 Word</x:v>
      </x:c>
      <x:c r="B6" s="29" t="n">
        <x:f>'Product Surfaces'!I3</x:f>
        <x:v>0</x:v>
      </x:c>
      <x:c r="D6" s="20" t="str">
        <x:f>'Product Surfaces'!A3</x:f>
        <x:v>N5 Word</x:v>
      </x:c>
      <x:c r="E6" s="28" t="n">
        <x:f>'Product Surfaces'!E3/'Product Surfaces'!D3</x:f>
        <x:v>1</x:v>
      </x:c>
      <x:c r="F6" s="28" t="n">
        <x:f>'Product Surfaces'!F3/'Product Surfaces'!D3</x:f>
        <x:v>1</x:v>
      </x:c>
      <x:c r="G6" s="28" t="n">
        <x:f>'Product Surfaces'!G3/'Product Surfaces'!D3</x:f>
        <x:v>1</x:v>
      </x:c>
      <x:c r="H6" s="28" t="n">
        <x:f>'Product Surfaces'!H3/'Product Surfaces'!D3</x:f>
        <x:v>1</x:v>
      </x:c>
      <x:c r="J6" s="20" t="str">
        <x:f>'Word Reading'!A3</x:f>
        <x:v>N4</x:v>
      </x:c>
      <x:c r="K6" s="28" t="n">
        <x:f>'Word Reading'!G3</x:f>
        <x:v>0.766887417218543</x:v>
      </x:c>
    </x:row>
    <x:row r="7">
      <x:c r="A7" s="20" t="str">
        <x:f>'Product Surfaces'!A4</x:f>
        <x:v>N4 Kanji</x:v>
      </x:c>
      <x:c r="B7" s="29" t="n">
        <x:f>'Product Surfaces'!I4</x:f>
        <x:v>0</x:v>
      </x:c>
      <x:c r="D7" s="20" t="str">
        <x:f>'Product Surfaces'!A4</x:f>
        <x:v>N4 Kanji</x:v>
      </x:c>
      <x:c r="E7" s="28" t="n">
        <x:f>'Product Surfaces'!E4/'Product Surfaces'!D4</x:f>
        <x:v>1</x:v>
      </x:c>
      <x:c r="F7" s="28" t="n">
        <x:f>'Product Surfaces'!F4/'Product Surfaces'!D4</x:f>
        <x:v>1</x:v>
      </x:c>
      <x:c r="G7" s="28" t="n">
        <x:f>'Product Surfaces'!G4/'Product Surfaces'!D4</x:f>
        <x:v>1</x:v>
      </x:c>
      <x:c r="H7" s="28" t="n">
        <x:f>'Product Surfaces'!H4/'Product Surfaces'!D4</x:f>
        <x:v>1</x:v>
      </x:c>
      <x:c r="J7" s="20" t="str">
        <x:f>'Word Reading'!A4</x:f>
        <x:v>N3</x:v>
      </x:c>
      <x:c r="K7" s="28" t="n">
        <x:f>'Word Reading'!G4</x:f>
        <x:v>0.34881756756756754</x:v>
      </x:c>
    </x:row>
    <x:row r="8">
      <x:c r="A8" s="20" t="str">
        <x:f>'Product Surfaces'!A5</x:f>
        <x:v>N4 Word</x:v>
      </x:c>
      <x:c r="B8" s="29" t="n">
        <x:f>'Product Surfaces'!I5</x:f>
        <x:v>0</x:v>
      </x:c>
      <x:c r="D8" s="20" t="str">
        <x:f>'Product Surfaces'!A5</x:f>
        <x:v>N4 Word</x:v>
      </x:c>
      <x:c r="E8" s="28" t="n">
        <x:f>'Product Surfaces'!E5/'Product Surfaces'!D5</x:f>
        <x:v>1</x:v>
      </x:c>
      <x:c r="F8" s="28" t="n">
        <x:f>'Product Surfaces'!F5/'Product Surfaces'!D5</x:f>
        <x:v>1</x:v>
      </x:c>
      <x:c r="G8" s="28" t="n">
        <x:f>'Product Surfaces'!G5/'Product Surfaces'!D5</x:f>
        <x:v>1</x:v>
      </x:c>
      <x:c r="H8" s="28" t="n">
        <x:f>'Product Surfaces'!H5/'Product Surfaces'!D5</x:f>
        <x:v>1</x:v>
      </x:c>
      <x:c r="J8" s="20" t="str">
        <x:f>'Word Reading'!A5</x:f>
        <x:v>N2</x:v>
      </x:c>
      <x:c r="K8" s="28" t="n">
        <x:f>'Word Reading'!G5</x:f>
        <x:v>0.053588516746411484</x:v>
      </x:c>
    </x:row>
    <x:row r="9">
      <x:c r="A9" s="20" t="str">
        <x:f>'Product Surfaces'!A6</x:f>
        <x:v>N3 Kanji</x:v>
      </x:c>
      <x:c r="B9" s="29" t="n">
        <x:f>'Product Surfaces'!I6</x:f>
        <x:v>0</x:v>
      </x:c>
      <x:c r="D9" s="20" t="str">
        <x:f>'Product Surfaces'!A6</x:f>
        <x:v>N3 Kanji</x:v>
      </x:c>
      <x:c r="E9" s="28" t="n">
        <x:f>'Product Surfaces'!E6/'Product Surfaces'!D6</x:f>
        <x:v>1</x:v>
      </x:c>
      <x:c r="F9" s="28" t="n">
        <x:f>'Product Surfaces'!F6/'Product Surfaces'!D6</x:f>
        <x:v>1</x:v>
      </x:c>
      <x:c r="G9" s="28" t="n">
        <x:f>'Product Surfaces'!G6/'Product Surfaces'!D6</x:f>
        <x:v>1</x:v>
      </x:c>
      <x:c r="H9" s="28" t="n">
        <x:f>'Product Surfaces'!H6/'Product Surfaces'!D6</x:f>
        <x:v>1</x:v>
      </x:c>
      <x:c r="J9" s="20" t="str">
        <x:f>'Word Reading'!A6</x:f>
        <x:v>N1</x:v>
      </x:c>
      <x:c r="K9" s="28" t="n">
        <x:f>'Word Reading'!G6</x:f>
        <x:v>0.012522907758094075</x:v>
      </x:c>
    </x:row>
    <x:row r="10">
      <x:c r="A10" s="20" t="str">
        <x:f>'Product Surfaces'!A7</x:f>
        <x:v>N3 Word</x:v>
      </x:c>
      <x:c r="B10" s="29" t="n">
        <x:f>'Product Surfaces'!I7</x:f>
        <x:v>1263</x:v>
      </x:c>
      <x:c r="D10" s="20" t="str">
        <x:f>'Product Surfaces'!A7</x:f>
        <x:v>N3 Word</x:v>
      </x:c>
      <x:c r="E10" s="28" t="n">
        <x:f>'Product Surfaces'!E7/'Product Surfaces'!D7</x:f>
        <x:v>1</x:v>
      </x:c>
      <x:c r="F10" s="28" t="n">
        <x:f>'Product Surfaces'!F7/'Product Surfaces'!D7</x:f>
        <x:v>0.018648018648018648</x:v>
      </x:c>
      <x:c r="G10" s="28" t="n">
        <x:f>'Product Surfaces'!G7/'Product Surfaces'!D7</x:f>
        <x:v>0.018648018648018648</x:v>
      </x:c>
      <x:c r="H10" s="28" t="n">
        <x:f>'Product Surfaces'!H7/'Product Surfaces'!D7</x:f>
        <x:v>0.018648018648018648</x:v>
      </x:c>
    </x:row>
    <x:row r="11">
      <x:c r="A11" s="20" t="str">
        <x:f>'Product Surfaces'!A8</x:f>
        <x:v>N2 Kanji</x:v>
      </x:c>
      <x:c r="B11" s="29" t="n">
        <x:f>'Product Surfaces'!I8</x:f>
        <x:v>0</x:v>
      </x:c>
      <x:c r="D11" s="20" t="str">
        <x:f>'Product Surfaces'!A8</x:f>
        <x:v>N2 Kanji</x:v>
      </x:c>
      <x:c r="E11" s="28" t="n">
        <x:f>'Product Surfaces'!E8/'Product Surfaces'!D8</x:f>
        <x:v>1</x:v>
      </x:c>
      <x:c r="F11" s="28" t="n">
        <x:f>'Product Surfaces'!F8/'Product Surfaces'!D8</x:f>
        <x:v>1</x:v>
      </x:c>
      <x:c r="G11" s="28" t="n">
        <x:f>'Product Surfaces'!G8/'Product Surfaces'!D8</x:f>
        <x:v>1</x:v>
      </x:c>
      <x:c r="H11" s="28" t="n">
        <x:f>'Product Surfaces'!H8/'Product Surfaces'!D8</x:f>
        <x:v>1</x:v>
      </x:c>
    </x:row>
    <x:row r="12">
      <x:c r="A12" s="20" t="str">
        <x:f>'Product Surfaces'!A9</x:f>
        <x:v>N2 Word</x:v>
      </x:c>
      <x:c r="B12" s="29" t="n">
        <x:f>'Product Surfaces'!I9</x:f>
        <x:v>84</x:v>
      </x:c>
      <x:c r="D12" s="20" t="str">
        <x:f>'Product Surfaces'!A9</x:f>
        <x:v>N2 Word</x:v>
      </x:c>
      <x:c r="E12" s="28" t="n">
        <x:f>'Product Surfaces'!E9/'Product Surfaces'!D9</x:f>
        <x:v>1</x:v>
      </x:c>
      <x:c r="F12" s="28" t="n">
        <x:f>'Product Surfaces'!F9/'Product Surfaces'!D9</x:f>
        <x:v>0</x:v>
      </x:c>
      <x:c r="G12" s="28" t="n">
        <x:f>'Product Surfaces'!G9/'Product Surfaces'!D9</x:f>
        <x:v>0</x:v>
      </x:c>
      <x:c r="H12" s="28" t="n">
        <x:f>'Product Surfaces'!H9/'Product Surfaces'!D9</x:f>
        <x:v>0</x:v>
      </x:c>
    </x:row>
    <x:row r="13">
      <x:c r="A13" s="20" t="str">
        <x:f>'Product Surfaces'!A10</x:f>
        <x:v>N1 Kanji</x:v>
      </x:c>
      <x:c r="B13" s="29" t="n">
        <x:f>'Product Surfaces'!I10</x:f>
        <x:v>1804</x:v>
      </x:c>
      <x:c r="D13" s="20" t="str">
        <x:f>'Product Surfaces'!A10</x:f>
        <x:v>N1 Kanji</x:v>
      </x:c>
      <x:c r="E13" s="28" t="n">
        <x:f>'Product Surfaces'!E10/'Product Surfaces'!D10</x:f>
        <x:v>1</x:v>
      </x:c>
      <x:c r="F13" s="28" t="n">
        <x:f>'Product Surfaces'!F10/'Product Surfaces'!D10</x:f>
        <x:v>1</x:v>
      </x:c>
      <x:c r="G13" s="28" t="n">
        <x:f>'Product Surfaces'!G10/'Product Surfaces'!D10</x:f>
        <x:v>0.26666666666666666</x:v>
      </x:c>
      <x:c r="H13" s="28" t="n">
        <x:f>'Product Surfaces'!H10/'Product Surfaces'!D10</x:f>
        <x:v>0.26666666666666666</x:v>
      </x:c>
    </x:row>
    <x:row r="14">
      <x:c r="A14" s="20" t="str">
        <x:f>'Product Surfaces'!A11</x:f>
        <x:v>N1 Word</x:v>
      </x:c>
      <x:c r="B14" s="29" t="n">
        <x:f>'Product Surfaces'!I11</x:f>
        <x:v>78</x:v>
      </x:c>
      <x:c r="D14" s="20" t="str">
        <x:f>'Product Surfaces'!A11</x:f>
        <x:v>N1 Word</x:v>
      </x:c>
      <x:c r="E14" s="28" t="n">
        <x:f>'Product Surfaces'!E11/'Product Surfaces'!D11</x:f>
        <x:v>1</x:v>
      </x:c>
      <x:c r="F14" s="28" t="n">
        <x:f>'Product Surfaces'!F11/'Product Surfaces'!D11</x:f>
        <x:v>0</x:v>
      </x:c>
      <x:c r="G14" s="28" t="n">
        <x:f>'Product Surfaces'!G11/'Product Surfaces'!D11</x:f>
        <x:v>0</x:v>
      </x:c>
      <x:c r="H14" s="28" t="n">
        <x:f>'Product Surfaces'!H11/'Product Surfaces'!D11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5" hidden="0" customWidth="1"/>
    <x:col min="2" max="2" width="18.75" hidden="0" customWidth="1"/>
    <x:col min="3" max="3" width="10" hidden="0" customWidth="1"/>
    <x:col min="4" max="4" width="11.880000114440918" hidden="0" customWidth="1"/>
    <x:col min="5" max="5" width="65" hidden="0" customWidth="1"/>
  </x:cols>
  <x:sheetData>
    <x:row r="1" ht="21" customHeight="1">
      <x:c r="A1" s="26" t="str">
        <x:v>Command</x:v>
      </x:c>
      <x:c r="B1" s="26" t="str">
        <x:v>Status</x:v>
      </x:c>
      <x:c r="C1" s="26" t="str">
        <x:v>Exit Code</x:v>
      </x:c>
      <x:c r="D1" s="26" t="str">
        <x:v>Parsed JSON</x:v>
      </x:c>
      <x:c r="E1" s="26" t="str">
        <x:v>Note</x:v>
      </x:c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20" t="str">
        <x:v>git status --short --branch</x:v>
      </x:c>
      <x:c r="B2" s="20" t="str">
        <x:v>pass</x:v>
      </x:c>
      <x:c r="C2" s="20" t="n">
        <x:v>0</x:v>
      </x:c>
      <x:c r="D2" s="20" t="str">
        <x:v>yes</x:v>
      </x:c>
      <x:c r="E2" s="20" t="str">
        <x:v>## main...origin/main
?? outputs/</x:v>
      </x:c>
    </x:row>
    <x:row r="3">
      <x:c r="A3" s="20" t="str">
        <x:v>git status --short --branch -- . ":(exclude)outputs"</x:v>
      </x:c>
      <x:c r="B3" s="20" t="str">
        <x:v>pass</x:v>
      </x:c>
      <x:c r="C3" s="20" t="n">
        <x:v>0</x:v>
      </x:c>
      <x:c r="D3" s="20" t="str">
        <x:v>yes</x:v>
      </x:c>
      <x:c r="E3" s="20" t="str">
        <x:v>## main...origin/main</x:v>
      </x:c>
    </x:row>
    <x:row r="4">
      <x:c r="A4" s="20" t="str">
        <x:v>git log -1 --oneline --decorate</x:v>
      </x:c>
      <x:c r="B4" s="20" t="str">
        <x:v>pass</x:v>
      </x:c>
      <x:c r="C4" s="20" t="n">
        <x:v>0</x:v>
      </x:c>
      <x:c r="D4" s="20" t="str">
        <x:v>yes</x:v>
      </x:c>
      <x:c r="E4" s="20" t="str">
        <x:v>a824d0bc (HEAD -&gt; main, origin/main, origin/HEAD) data(words): expand n3 silver batches 35-41</x:v>
      </x:c>
    </x:row>
    <x:row r="5">
      <x:c r="A5" s="20" t="str">
        <x:v>git ls-remote --heads origin</x:v>
      </x:c>
      <x:c r="B5" s="20" t="str">
        <x:v>fail</x:v>
      </x:c>
      <x:c r="C5" s="20" t="n">
        <x:v>128</x:v>
      </x:c>
      <x:c r="D5" s="20" t="str">
        <x:v>yes</x:v>
      </x:c>
      <x:c r="E5" s="20" t="str">
        <x:v>First remote-head attempt failed; retrying once.</x:v>
      </x:c>
    </x:row>
    <x:row r="6">
      <x:c r="A6" s="20" t="str">
        <x:v>git ls-remote --heads origin (retry)</x:v>
      </x:c>
      <x:c r="B6" s="20" t="str">
        <x:v>fail</x:v>
      </x:c>
      <x:c r="C6" s="20" t="n">
        <x:v>128</x:v>
      </x:c>
      <x:c r="D6" s="20" t="str">
        <x:v>yes</x:v>
      </x:c>
      <x:c r="E6" s="20" t="str">
        <x:v>fatal: unable to access 'https://github.com/JeremiahM18/japanese-kanji-anki-builder.git/': Failed to connect to github.com port 443 after 95 ms: Could not connect to server</x:v>
      </x:c>
    </x:row>
    <x:row r="7">
      <x:c r="A7" s="20" t="str">
        <x:v>node scripts/reportDeckCloseoutStatus.js --levels=5,4,3,2,1 --json</x:v>
      </x:c>
      <x:c r="B7" s="20" t="str">
        <x:v>pass</x:v>
      </x:c>
      <x:c r="C7" s="20" t="n">
        <x:v>0</x:v>
      </x:c>
      <x:c r="D7" s="20" t="str">
        <x:v>yes</x:v>
      </x:c>
      <x:c r="E7" s="20" t="str">
        <x:v>{
  "generatedAt": "2026-06-11T14:15:39.526Z",
  "rootDir": "C:\\Users\\cover\\Projects\\Active\\Fullstack\\japanese_kanji_builder",
  "levels": [
    5,
    4,
    3,
    2,
    1
  ],
  "git": {
    "status": {
      "</x:v>
      </x:c>
    </x:row>
    <x:row r="8">
      <x:c r="A8" s="20" t="str">
        <x:v>node scripts/reportKanjiDeckReviewStatus.js --json</x:v>
      </x:c>
      <x:c r="B8" s="20" t="str">
        <x:v>pass</x:v>
      </x:c>
      <x:c r="C8" s="20" t="n">
        <x:v>0</x:v>
      </x:c>
      <x:c r="D8" s="20" t="str">
        <x:v>yes</x:v>
      </x:c>
      <x:c r="E8" s="20" t="str">
        <x:v>{
  "coreOutDir": "C:\\Users\\cover\\Projects\\Active\\Fullstack\\japanese_kanji_builder\\out\\build",
  "additionalOutDir": "C:\\Users\\cover\\Projects\\Active\\Fullstack\\japanese_kanji_builder\\out\\build\\additional_</x:v>
      </x:c>
    </x:row>
    <x:row r="9">
      <x:c r="A9" s="20" t="str">
        <x:v>node scripts/reportPerformanceMemoryAuditMatrix.js --json</x:v>
      </x:c>
      <x:c r="B9" s="20" t="str">
        <x:v>pass</x:v>
      </x:c>
      <x:c r="C9" s="20" t="n">
        <x:v>0</x:v>
      </x:c>
      <x:c r="D9" s="20" t="str">
        <x:v>yes</x:v>
      </x:c>
      <x:c r="E9" s="20" t="str">
        <x:v>{
  "passed": true,
  "matrixPath": "C:\\Users\\cover\\Projects\\Active\\Fullstack\\japanese_kanji_builder\\templates\\performance_memory_audit_matrix.json",
  "authority": {
    "sourceOfTruth": "tracked-performance-mem</x:v>
      </x:c>
    </x:row>
    <x:row r="10">
      <x:c r="A10" s="20" t="str">
        <x:v>node scripts/validateObsidianProofLedger.js --json</x:v>
      </x:c>
      <x:c r="B10" s="20" t="str">
        <x:v>pass</x:v>
      </x:c>
      <x:c r="C10" s="20" t="n">
        <x:v>0</x:v>
      </x:c>
      <x:c r="D10" s="20" t="str">
        <x:v>yes</x:v>
      </x:c>
      <x:c r="E10" s="20" t="str">
        <x:v>{
  "passed": true,
  "ledgerDir": "C:\\Users\\cover\\Projects\\Active\\Fullstack\\japanese_kanji_builder\\templates\\obsidian_proof_ledger",
  "files": [
    "C:\\Users\\cover\\Projects\\Active\\Fullstack\\japanese_kanj</x:v>
      </x:c>
    </x:row>
    <x:row r="11">
      <x:c r="A11" s="20" t="str">
        <x:v>node scripts/reconcileObsidianProofLedger.js --levels=5,4,3,2 --json</x:v>
      </x:c>
      <x:c r="B11" s="20" t="str">
        <x:v>pass</x:v>
      </x:c>
      <x:c r="C11" s="20" t="n">
        <x:v>0</x:v>
      </x:c>
      <x:c r="D11" s="20" t="str">
        <x:v>yes</x:v>
      </x:c>
      <x:c r="E11" s="20" t="str">
        <x:v>{
  "passed": true,
  "ledgerDir": "C:\\Users\\cover\\Projects\\Active\\Fullstack\\japanese_kanji_builder\\templates\\obsidian_proof_ledger",
  "ledgerFiles": [
    "C:\\Users\\cover\\Projects\\Active\\Fullstack\\japanes</x:v>
      </x:c>
    </x:row>
    <x:row r="12">
      <x:c r="A12" s="20" t="str">
        <x:v>node scripts/reconcileObsidianProofLedger.js --deck-kind=word --levels=5,4 --json</x:v>
      </x:c>
      <x:c r="B12" s="20" t="str">
        <x:v>pass</x:v>
      </x:c>
      <x:c r="C12" s="20" t="n">
        <x:v>0</x:v>
      </x:c>
      <x:c r="D12" s="20" t="str">
        <x:v>yes</x:v>
      </x:c>
      <x:c r="E12" s="20" t="str">
        <x:v>{
  "passed": true,
  "ledgerDir": "C:\\Users\\cover\\Projects\\Active\\Fullstack\\japanese_kanji_builder\\templates\\obsidian_proof_ledger",
  "ledgerFiles": [
    "C:\\Users\\cover\\Projects\\Active\\Fullstack\\japanes</x:v>
      </x:c>
    </x:row>
    <x:row r="13">
      <x:c r="A13" s="20" t="str">
        <x:v>node scripts/reportObsidianKanjiCertificationStatus.js --levels=5,4,3,2 --json</x:v>
      </x:c>
      <x:c r="B13" s="20" t="str">
        <x:v>pass</x:v>
      </x:c>
      <x:c r="C13" s="20" t="n">
        <x:v>0</x:v>
      </x:c>
      <x:c r="D13" s="20" t="str">
        <x:v>yes</x:v>
      </x:c>
      <x:c r="E13" s="20" t="str">
        <x:v>{
  "currentReviewStandard": "kanji-platinum-v3-evidence-lanes",
  "proofMarker": "substantive post-v3 Obsidian rereview",
  "nonMechanicalMarker": "not mechanically migrated",
  "missingProofMarker": "missing_substantiv</x:v>
      </x:c>
    </x:row>
    <x:row r="14">
      <x:c r="A14" s="20" t="str">
        <x:v>node scripts/reportObsidianWordCertificationStatus.js --levels=5,4 --json</x:v>
      </x:c>
      <x:c r="B14" s="20" t="str">
        <x:v>pass</x:v>
      </x:c>
      <x:c r="C14" s="20" t="n">
        <x:v>0</x:v>
      </x:c>
      <x:c r="D14" s="20" t="str">
        <x:v>yes</x:v>
      </x:c>
      <x:c r="E14" s="20" t="str">
        <x:v>{
  "currentReviewStandard": "word-platinum-v3-evidence-lanes",
  "proofMarker": "substantive post-v3 Obsidian rereview",
  "nonMechanicalMarker": "not mechanically migrated",
  "missingProofMarker": "missing_substantive</x:v>
      </x:c>
    </x:row>
    <x:row r="15">
      <x:c r="A15" s="20" t="str">
        <x:v>node scripts/runNlpGovernanceGate.js --json</x:v>
      </x:c>
      <x:c r="B15" s="20" t="str">
        <x:v>pass</x:v>
      </x:c>
      <x:c r="C15" s="20" t="n">
        <x:v>0</x:v>
      </x:c>
      <x:c r="D15" s="20" t="str">
        <x:v>yes</x:v>
      </x:c>
      <x:c r="E15" s="20" t="str">
        <x:v>{
  "generatedAt": "2026-06-11T14:16:32.594Z",
  "passed": true,
  "checks": [
    {
      "id": "model-manifest",
      "label": "NLP model manifest",
      "passed": true,
      "errors": [],
      "report": {
        </x:v>
      </x:c>
    </x:row>
    <x:row r="16">
      <x:c r="A16" s="20" t="str">
        <x:v>node scripts/reportSdlcMetrics.js --release-trust --json</x:v>
      </x:c>
      <x:c r="B16" s="20" t="str">
        <x:v>expected fail-closed</x:v>
      </x:c>
      <x:c r="C16" s="20" t="n">
        <x:v>1</x:v>
      </x:c>
      <x:c r="D16" s="20" t="str">
        <x:v>yes</x:v>
      </x:c>
      <x:c r="E16" s="20" t="str">
        <x:v>Expected fail-closed when release-trust blockers remain open.</x:v>
      </x:c>
    </x:row>
    <x:row r="17">
      <x:c r="A17" s="20" t="str">
        <x:v>node scripts/reportWordDeckCompletion.js --level=5 --json</x:v>
      </x:c>
      <x:c r="B17" s="20" t="str">
        <x:v>pass</x:v>
      </x:c>
      <x:c r="C17" s="20" t="n">
        <x:v>0</x:v>
      </x:c>
      <x:c r="D17" s="20" t="str">
        <x:v>yes</x:v>
      </x:c>
      <x:c r="E17" s="20" t="str">
        <x:v>{
  "level": 5,
  "inventory": {
    "level": 5,
    "canonicalInventoryCount": 287,
    "starterEligibleCount": 287,
    "builtEligibleCount": 287,
    "excludedSourceCount": 20,
    "missingEligibleCount": 0,
    "extr</x:v>
      </x:c>
    </x:row>
    <x:row r="18">
      <x:c r="A18" s="20" t="str">
        <x:v>node scripts/reportWordDeckCompletion.js --level=4 --json</x:v>
      </x:c>
      <x:c r="B18" s="20" t="str">
        <x:v>pass</x:v>
      </x:c>
      <x:c r="C18" s="20" t="n">
        <x:v>0</x:v>
      </x:c>
      <x:c r="D18" s="20" t="str">
        <x:v>yes</x:v>
      </x:c>
      <x:c r="E18" s="20" t="str">
        <x:v>{
  "level": 4,
  "inventory": {
    "level": 4,
    "canonicalInventoryCount": 700,
    "starterEligibleCount": 700,
    "builtEligibleCount": 700,
    "excludedSourceCount": 0,
    "missingEligibleCount": 0,
    "extra</x:v>
      </x:c>
    </x:row>
    <x:row r="19">
      <x:c r="A19" s="20" t="str">
        <x:v>node scripts/reportWordDeckCompletion.js --level=3 --json</x:v>
      </x:c>
      <x:c r="B19" s="20" t="str">
        <x:v>pass</x:v>
      </x:c>
      <x:c r="C19" s="20" t="n">
        <x:v>0</x:v>
      </x:c>
      <x:c r="D19" s="20" t="str">
        <x:v>yes</x:v>
      </x:c>
      <x:c r="E19" s="20" t="str">
        <x:v>{
  "level": 3,
  "inventory": {
    "level": 3,
    "canonicalInventoryCount": 429,
    "starterEligibleCount": 429,
    "builtEligibleCount": 429,
    "excludedSourceCount": 0,
    "missingEligibleCount": 0,
    "extra</x:v>
      </x:c>
    </x:row>
    <x:row r="20">
      <x:c r="A20" s="20" t="str">
        <x:v>node scripts/reportWordDeckCompletion.js --level=2 --json</x:v>
      </x:c>
      <x:c r="B20" s="20" t="str">
        <x:v>pass</x:v>
      </x:c>
      <x:c r="C20" s="20" t="n">
        <x:v>0</x:v>
      </x:c>
      <x:c r="D20" s="20" t="str">
        <x:v>yes</x:v>
      </x:c>
      <x:c r="E20" s="20" t="str">
        <x:v>{
  "level": 2,
  "inventory": {
    "level": 2,
    "canonicalInventoryCount": 28,
    "starterEligibleCount": 28,
    "builtEligibleCount": 28,
    "excludedSourceCount": 0,
    "missingEligibleCount": 0,
    "extraBui</x:v>
      </x:c>
    </x:row>
    <x:row r="21">
      <x:c r="A21" s="20" t="str">
        <x:v>node scripts/reportWordDeckCompletion.js --level=1 --json</x:v>
      </x:c>
      <x:c r="B21" s="20" t="str">
        <x:v>pass</x:v>
      </x:c>
      <x:c r="C21" s="20" t="n">
        <x:v>0</x:v>
      </x:c>
      <x:c r="D21" s="20" t="str">
        <x:v>yes</x:v>
      </x:c>
      <x:c r="E21" s="20" t="str">
        <x:v>{
  "level": 1,
  "inventory": {
    "level": 1,
    "canonicalInventoryCount": 26,
    "starterEligibleCount": 26,
    "builtEligibleCount": 26,
    "excludedSourceCount": 0,
    "missingEligibleCount": 0,
    "extraBui</x:v>
      </x:c>
    </x:row>
  </x:sheetData>
  <x:conditionalFormatting sqref="B2:B30">
    <x:cfRule type="containsText" dxfId="3" priority="1" operator="containsText" text="expected fail-closed"/>
    <x:cfRule type="containsText" dxfId="4" priority="2" operator="containsText" text="fail"/>
    <x:cfRule type="containsText" dxfId="5" priority="3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693a560278d7452e"/>
  </x:tableParts>
</x:worksheet>
</file>